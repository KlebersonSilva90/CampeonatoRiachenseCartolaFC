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98B66583-FDA3-4361-9B63-53B9D29088C8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/>
  <c r="O153" i="3"/>
  <c r="N153" i="3"/>
  <c r="D153" i="3"/>
  <c r="C153" i="3"/>
  <c r="A153" i="3" s="1"/>
  <c r="B153" i="3" s="1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 s="1"/>
  <c r="O139" i="3"/>
  <c r="N139" i="3"/>
  <c r="D139" i="3"/>
  <c r="C139" i="3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A125" i="3" s="1"/>
  <c r="B125" i="3" s="1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 s="1"/>
  <c r="O116" i="3"/>
  <c r="N116" i="3"/>
  <c r="D116" i="3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Q103" i="3"/>
  <c r="P103" i="3" s="1"/>
  <c r="O103" i="3"/>
  <c r="N103" i="3"/>
  <c r="D103" i="3"/>
  <c r="A103" i="3" s="1"/>
  <c r="B103" i="3" s="1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 s="1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A67" i="3" s="1"/>
  <c r="B67" i="3" s="1"/>
  <c r="C67" i="3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 s="1"/>
  <c r="O58" i="3"/>
  <c r="N58" i="3"/>
  <c r="D58" i="3"/>
  <c r="C58" i="3"/>
  <c r="A58" i="3" s="1"/>
  <c r="B58" i="3" s="1"/>
  <c r="Q57" i="3"/>
  <c r="P57" i="3" s="1"/>
  <c r="O57" i="3"/>
  <c r="N57" i="3"/>
  <c r="D57" i="3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3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12" i="3"/>
  <c r="Q5" i="3"/>
  <c r="P5" i="3" s="1"/>
  <c r="O5" i="3"/>
  <c r="N5" i="3"/>
  <c r="D5" i="3"/>
  <c r="AE6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136" i="3" l="1"/>
  <c r="B136" i="3" s="1"/>
  <c r="A139" i="3"/>
  <c r="B139" i="3" s="1"/>
  <c r="A142" i="3"/>
  <c r="B142" i="3" s="1"/>
  <c r="A128" i="3"/>
  <c r="B128" i="3" s="1"/>
  <c r="A113" i="3"/>
  <c r="B113" i="3" s="1"/>
  <c r="A112" i="3"/>
  <c r="B112" i="3" s="1"/>
  <c r="A115" i="3"/>
  <c r="B115" i="3" s="1"/>
  <c r="A116" i="3"/>
  <c r="B116" i="3" s="1"/>
  <c r="AA3" i="3" s="1"/>
  <c r="A119" i="3"/>
  <c r="B119" i="3" s="1"/>
  <c r="AD21" i="3"/>
  <c r="A99" i="3"/>
  <c r="B99" i="3" s="1"/>
  <c r="A101" i="3"/>
  <c r="B101" i="3" s="1"/>
  <c r="A108" i="3"/>
  <c r="B108" i="3" s="1"/>
  <c r="A90" i="3"/>
  <c r="B90" i="3" s="1"/>
  <c r="A77" i="3"/>
  <c r="B77" i="3" s="1"/>
  <c r="AE12" i="3"/>
  <c r="AF12" i="3" s="1"/>
  <c r="A76" i="3"/>
  <c r="B76" i="3" s="1"/>
  <c r="A79" i="3"/>
  <c r="B79" i="3" s="1"/>
  <c r="A68" i="3"/>
  <c r="B68" i="3" s="1"/>
  <c r="A57" i="3"/>
  <c r="B57" i="3" s="1"/>
  <c r="A52" i="3"/>
  <c r="B52" i="3" s="1"/>
  <c r="A39" i="3"/>
  <c r="B39" i="3" s="1"/>
  <c r="A40" i="3"/>
  <c r="B40" i="3" s="1"/>
  <c r="A43" i="3"/>
  <c r="B43" i="3" s="1"/>
  <c r="A27" i="3"/>
  <c r="B27" i="3" s="1"/>
  <c r="AD16" i="3"/>
  <c r="A30" i="3"/>
  <c r="B30" i="3" s="1"/>
  <c r="A35" i="3"/>
  <c r="B35" i="3" s="1"/>
  <c r="A36" i="3"/>
  <c r="B36" i="3" s="1"/>
  <c r="AD19" i="3"/>
  <c r="A31" i="3"/>
  <c r="B31" i="3" s="1"/>
  <c r="A34" i="3"/>
  <c r="B34" i="3" s="1"/>
  <c r="A22" i="3"/>
  <c r="B22" i="3" s="1"/>
  <c r="A10" i="3"/>
  <c r="B10" i="3" s="1"/>
  <c r="AE16" i="3"/>
  <c r="AE18" i="3"/>
  <c r="AE7" i="3"/>
  <c r="AE17" i="3"/>
  <c r="AD17" i="3"/>
  <c r="A226" i="3"/>
  <c r="B226" i="3" s="1"/>
  <c r="AD20" i="3"/>
  <c r="AD9" i="3"/>
  <c r="AE13" i="3"/>
  <c r="AD7" i="3"/>
  <c r="AE20" i="3"/>
  <c r="A5" i="3"/>
  <c r="B5" i="3" s="1"/>
  <c r="AD3" i="3"/>
  <c r="AF3" i="3" s="1"/>
  <c r="AD13" i="3"/>
  <c r="AD10" i="3"/>
  <c r="AE22" i="3"/>
  <c r="A17" i="3"/>
  <c r="B17" i="3" s="1"/>
  <c r="AC5" i="3" s="1"/>
  <c r="AE10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1" i="3"/>
  <c r="A60" i="3"/>
  <c r="B60" i="3" s="1"/>
  <c r="A64" i="3"/>
  <c r="B64" i="3" s="1"/>
  <c r="A66" i="3"/>
  <c r="B66" i="3" s="1"/>
  <c r="A71" i="3"/>
  <c r="B71" i="3" s="1"/>
  <c r="A80" i="3"/>
  <c r="B80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A19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D22" i="3"/>
  <c r="AE11" i="3"/>
  <c r="AE8" i="3"/>
  <c r="AE15" i="3"/>
  <c r="AE9" i="3"/>
  <c r="AD5" i="3"/>
  <c r="AE19" i="3"/>
  <c r="AD4" i="3"/>
  <c r="A15" i="3"/>
  <c r="B15" i="3" s="1"/>
  <c r="AD8" i="3"/>
  <c r="A4" i="3"/>
  <c r="B4" i="3" s="1"/>
  <c r="AD15" i="3"/>
  <c r="AD18" i="3"/>
  <c r="A8" i="3"/>
  <c r="B8" i="3" s="1"/>
  <c r="AE14" i="3"/>
  <c r="AE4" i="3"/>
  <c r="AD6" i="3"/>
  <c r="A16" i="3"/>
  <c r="B16" i="3" s="1"/>
  <c r="AB22" i="3" s="1"/>
  <c r="AE5" i="3"/>
  <c r="AD11" i="3"/>
  <c r="AC8" i="3"/>
  <c r="AB8" i="3"/>
  <c r="AA8" i="3"/>
  <c r="AB19" i="3"/>
  <c r="AA5" i="3"/>
  <c r="A6" i="3"/>
  <c r="B6" i="3" s="1"/>
  <c r="A18" i="3"/>
  <c r="B18" i="3" s="1"/>
  <c r="A3" i="3"/>
  <c r="B3" i="3" s="1"/>
  <c r="A7" i="3"/>
  <c r="B7" i="3" s="1"/>
  <c r="AD14" i="3"/>
  <c r="A11" i="3"/>
  <c r="B11" i="3" s="1"/>
  <c r="A213" i="3"/>
  <c r="B213" i="3" s="1"/>
  <c r="AB15" i="3" s="1"/>
  <c r="A215" i="3"/>
  <c r="B215" i="3" s="1"/>
  <c r="AA13" i="3" s="1"/>
  <c r="A219" i="3"/>
  <c r="B219" i="3" s="1"/>
  <c r="A221" i="3"/>
  <c r="B221" i="3" s="1"/>
  <c r="AB6" i="3" s="1"/>
  <c r="A223" i="3"/>
  <c r="B223" i="3" s="1"/>
  <c r="A227" i="3"/>
  <c r="B227" i="3" s="1"/>
  <c r="A198" i="3"/>
  <c r="B198" i="3" s="1"/>
  <c r="A200" i="3"/>
  <c r="B200" i="3" s="1"/>
  <c r="A202" i="3"/>
  <c r="B202" i="3" s="1"/>
  <c r="AC21" i="3" s="1"/>
  <c r="A204" i="3"/>
  <c r="B204" i="3" s="1"/>
  <c r="A208" i="3"/>
  <c r="B208" i="3" s="1"/>
  <c r="AC22" i="3" s="1"/>
  <c r="A210" i="3"/>
  <c r="B210" i="3" s="1"/>
  <c r="A212" i="3"/>
  <c r="B212" i="3" s="1"/>
  <c r="A214" i="3"/>
  <c r="B214" i="3" s="1"/>
  <c r="A216" i="3"/>
  <c r="B216" i="3" s="1"/>
  <c r="A220" i="3"/>
  <c r="B220" i="3" s="1"/>
  <c r="A222" i="3"/>
  <c r="B222" i="3" s="1"/>
  <c r="A225" i="3"/>
  <c r="B225" i="3" s="1"/>
  <c r="AC14" i="3" s="1"/>
  <c r="AD258" i="3" l="1"/>
  <c r="AC19" i="3"/>
  <c r="AC3" i="3"/>
  <c r="AC10" i="3"/>
  <c r="AB3" i="3"/>
  <c r="AA20" i="3"/>
  <c r="AF19" i="3"/>
  <c r="AE248" i="3"/>
  <c r="AD256" i="3"/>
  <c r="AF16" i="3"/>
  <c r="AD242" i="3"/>
  <c r="AF18" i="3"/>
  <c r="AD255" i="3"/>
  <c r="AD239" i="3"/>
  <c r="AE239" i="3"/>
  <c r="AD257" i="3"/>
  <c r="AF21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6" i="3"/>
  <c r="AE254" i="3"/>
  <c r="AF13" i="3"/>
  <c r="AF9" i="3"/>
  <c r="AD241" i="3"/>
  <c r="AE242" i="3"/>
  <c r="AD244" i="3"/>
  <c r="AF4" i="3"/>
  <c r="AF20" i="3"/>
  <c r="AF22" i="3"/>
  <c r="AF17" i="3"/>
  <c r="AE250" i="3"/>
  <c r="AF10" i="3"/>
  <c r="AC12" i="3"/>
  <c r="AA7" i="3"/>
  <c r="AD249" i="3"/>
  <c r="AA10" i="3"/>
  <c r="AE243" i="3"/>
  <c r="AF11" i="3"/>
  <c r="AB5" i="3"/>
  <c r="Y5" i="3" s="1"/>
  <c r="AB10" i="3"/>
  <c r="AF7" i="3"/>
  <c r="AA22" i="3"/>
  <c r="AF15" i="3"/>
  <c r="AE251" i="3"/>
  <c r="AD240" i="3"/>
  <c r="AE257" i="3"/>
  <c r="AE253" i="3"/>
  <c r="AE240" i="3"/>
  <c r="AF5" i="3"/>
  <c r="AE245" i="3"/>
  <c r="AF8" i="3"/>
  <c r="AE258" i="3"/>
  <c r="AE244" i="3"/>
  <c r="AE256" i="3"/>
  <c r="AB7" i="3"/>
  <c r="AA17" i="3"/>
  <c r="AB20" i="3"/>
  <c r="AA12" i="3"/>
  <c r="AB17" i="3"/>
  <c r="AA14" i="3"/>
  <c r="AC15" i="3"/>
  <c r="AA21" i="3"/>
  <c r="AC6" i="3"/>
  <c r="AC7" i="3"/>
  <c r="AB12" i="3"/>
  <c r="AC17" i="3"/>
  <c r="AB14" i="3"/>
  <c r="Y8" i="3"/>
  <c r="Z8" i="3"/>
  <c r="AB13" i="3"/>
  <c r="AA6" i="3"/>
  <c r="AD246" i="3"/>
  <c r="AF14" i="3"/>
  <c r="AB16" i="3"/>
  <c r="AA16" i="3"/>
  <c r="AC16" i="3"/>
  <c r="AC20" i="3"/>
  <c r="AA9" i="3"/>
  <c r="AC9" i="3"/>
  <c r="AB9" i="3"/>
  <c r="Z19" i="3"/>
  <c r="Y19" i="3"/>
  <c r="AA15" i="3"/>
  <c r="AC13" i="3"/>
  <c r="AB21" i="3"/>
  <c r="AC4" i="3"/>
  <c r="AB4" i="3"/>
  <c r="AA4" i="3"/>
  <c r="AC11" i="3"/>
  <c r="AB11" i="3"/>
  <c r="AA11" i="3"/>
  <c r="AC18" i="3"/>
  <c r="AB18" i="3"/>
  <c r="AA18" i="3"/>
  <c r="Z3" i="3" l="1"/>
  <c r="AC253" i="3"/>
  <c r="Y3" i="3"/>
  <c r="AF254" i="3"/>
  <c r="AC256" i="3"/>
  <c r="AA254" i="3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5" i="3"/>
  <c r="AG5" i="3" s="1"/>
  <c r="AF252" i="3"/>
  <c r="AF242" i="3"/>
  <c r="AF244" i="3"/>
  <c r="Y10" i="3"/>
  <c r="AB251" i="3"/>
  <c r="AA249" i="3"/>
  <c r="AC247" i="3"/>
  <c r="AB247" i="3"/>
  <c r="AC252" i="3"/>
  <c r="AB239" i="3"/>
  <c r="AB248" i="3"/>
  <c r="AA248" i="3"/>
  <c r="AA250" i="3"/>
  <c r="AA243" i="3"/>
  <c r="AC242" i="3"/>
  <c r="Z10" i="3"/>
  <c r="AG10" i="3" s="1"/>
  <c r="AA240" i="3"/>
  <c r="AF243" i="3"/>
  <c r="AF241" i="3"/>
  <c r="AB242" i="3"/>
  <c r="AF257" i="3"/>
  <c r="AC239" i="3"/>
  <c r="AC251" i="3"/>
  <c r="Z22" i="3"/>
  <c r="AG22" i="3" s="1"/>
  <c r="AF245" i="3"/>
  <c r="Y22" i="3"/>
  <c r="AB250" i="3"/>
  <c r="AB240" i="3"/>
  <c r="AC245" i="3"/>
  <c r="AC250" i="3"/>
  <c r="AB246" i="3"/>
  <c r="AF256" i="3"/>
  <c r="AB254" i="3"/>
  <c r="AC246" i="3"/>
  <c r="AB256" i="3"/>
  <c r="Y7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4" i="3"/>
  <c r="Y4" i="3"/>
  <c r="Y13" i="3"/>
  <c r="Z7" i="3"/>
  <c r="AA244" i="3"/>
  <c r="Z15" i="3"/>
  <c r="Y15" i="3"/>
  <c r="AA242" i="3"/>
  <c r="Z16" i="3"/>
  <c r="Y16" i="3"/>
  <c r="AA247" i="3"/>
  <c r="Z6" i="3"/>
  <c r="Y6" i="3"/>
  <c r="AA246" i="3"/>
  <c r="Z14" i="3"/>
  <c r="Y14" i="3"/>
  <c r="Z13" i="3"/>
  <c r="Y20" i="3"/>
  <c r="AA257" i="3"/>
  <c r="Y11" i="3"/>
  <c r="Z11" i="3"/>
  <c r="AG3" i="3"/>
  <c r="AA251" i="3"/>
  <c r="Z9" i="3"/>
  <c r="Y9" i="3"/>
  <c r="AA241" i="3"/>
  <c r="Y12" i="3"/>
  <c r="Z12" i="3"/>
  <c r="Y17" i="3"/>
  <c r="Z20" i="3"/>
  <c r="AA245" i="3"/>
  <c r="Y18" i="3"/>
  <c r="Z18" i="3"/>
  <c r="AG19" i="3"/>
  <c r="AG8" i="3"/>
  <c r="AA239" i="3"/>
  <c r="Z21" i="3"/>
  <c r="Y21" i="3"/>
  <c r="Z17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0" i="3"/>
  <c r="Z251" i="3"/>
  <c r="AG9" i="3"/>
  <c r="Z257" i="3"/>
  <c r="AG11" i="3"/>
  <c r="Z255" i="3"/>
  <c r="AG13" i="3"/>
  <c r="Z242" i="3"/>
  <c r="AG16" i="3"/>
  <c r="Z258" i="3"/>
  <c r="AG4" i="3"/>
  <c r="Z245" i="3"/>
  <c r="AG18" i="3"/>
  <c r="Z247" i="3"/>
  <c r="AG6" i="3"/>
  <c r="Z250" i="3"/>
  <c r="AG7" i="3"/>
  <c r="Z241" i="3"/>
  <c r="AG12" i="3"/>
  <c r="Z246" i="3"/>
  <c r="AG14" i="3"/>
  <c r="Z240" i="3"/>
  <c r="AG17" i="3"/>
  <c r="Z239" i="3"/>
  <c r="AG21" i="3"/>
  <c r="Z244" i="3"/>
  <c r="AG15" i="3"/>
  <c r="AG239" i="3" l="1"/>
  <c r="AG255" i="3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<sst xmlns="http://schemas.openxmlformats.org/spreadsheetml/2006/main" count="1157" uniqueCount="101">
  <si>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</si>
  <si>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</si>
  <si>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</si>
  <si>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</si>
  <si>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</si>
  <si>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</si>
  <si>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</si>
  <si>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</si>
  <si>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</si>
  <si>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</si>
  <si>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</si>
  <si>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</si>
  <si>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</si>
  <si>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</si>
  <si>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</si>
  <si>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</si>
  <si>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</si>
  <si>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</si>
  <si>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</si>
  <si>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</si>
  <si>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</si>
  <si>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</si>
  <si>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</si>
  <si>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</si>
  <si>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</si>
  <si>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</si>
  <si>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</si>
  <si>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</si>
  <si>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</si>
  <si>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</si>
  <si>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</si>
  <si>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</si>
  <si>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</si>
  <si>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</si>
  <si>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</si>
  <si>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</si>
  <si>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</si>
  <si>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</si>
  <si>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</si>
  <si>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</si>
  <si>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</si>
  <si>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</si>
  <si>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</si>
  <si>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</si>
  <si>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</si>
  <si>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</si>
  <si>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</si>
  <si>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</si>
  <si>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</si>
  <si>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</si>
  <si>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</si>
  <si>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</si>
  <si>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</si>
  <si>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</si>
  <si>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</si>
  <si>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</si>
  <si>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</si>
  <si>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</si>
  <si>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</si>
  <si>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</si>
  <si>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</si>
  <si>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</si>
  <si>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</si>
  <si>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</si>
  <si>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</si>
  <si>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</si>
  <si>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</si>
  <si>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</si>
  <si>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</si>
  <si>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</si>
  <si>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</si>
  <si>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Wake Wake Fc98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</si>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</sst>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32</xdr:col>
      <xdr:colOff>366705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20" zoomScale="75" zoomScaleNormal="75" workbookViewId="0">
      <selection activeCell="K139" sqref="K139"/>
    </sheetView>
  </sheetViews>
  <sheetFormatPr defaultColWidth="17.8554687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140625" style="17" bestFit="1" customWidth="1"/>
    <col min="9" max="9" width="2.85546875" style="17" bestFit="1" customWidth="1"/>
    <col min="10" max="10" width="9.14062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1406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9.28515625" style="5" bestFit="1" customWidth="1"/>
    <col min="32" max="32" width="8.85546875" style="5" bestFit="1" customWidth="1"/>
    <col min="33" max="33" width="7.5703125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87</v>
      </c>
      <c r="G3" s="2" t="s">
        <v>86</v>
      </c>
      <c r="H3" s="67">
        <v>103.78</v>
      </c>
      <c r="I3" s="2" t="s">
        <v>52</v>
      </c>
      <c r="J3" s="74">
        <v>130.63</v>
      </c>
      <c r="K3" s="2" t="s">
        <v>68</v>
      </c>
      <c r="L3" s="58" t="s">
        <v>83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92</v>
      </c>
      <c r="Y3" s="38">
        <f>SUM((AA3*3)+AB3)</f>
        <v>29</v>
      </c>
      <c r="Z3" s="38">
        <f>SUM(AA3+AB3+AC3)</f>
        <v>12</v>
      </c>
      <c r="AA3" s="38">
        <f>COUNTIFS($G$3:$G$228,X3,$B$3:$B$228,"V")+COUNTIFS($K$3:$K$228,X3,$P$3:$P$228,"V")</f>
        <v>9</v>
      </c>
      <c r="AB3" s="38">
        <f>COUNTIFS($G$3:$G$228,X3,$B$3:$B$228,"E",$H$3:$H$228,"&lt;&gt;"&amp;"")+COUNTIFS($K$3:$K$228,X3,$P$3:$P$228,"E",$J$3:$J$228,"&lt;&gt;"&amp;"")</f>
        <v>2</v>
      </c>
      <c r="AC3" s="38">
        <f>COUNTIFS($G$3:$G$228,X3,$B$3:$B$228,"D")+COUNTIFS($K$3:$K$228,X3,$P$3:$P$228,"D")</f>
        <v>1</v>
      </c>
      <c r="AD3" s="38">
        <f>SUMIFS($C$3:$C$228,$G$3:$G$228,X3)+SUMIFS($O$3:$O$228,$K$3:$K$228,X3)</f>
        <v>1209</v>
      </c>
      <c r="AE3" s="38">
        <f>SUMIFS($D$3:$D$228,$G$3:$G$228,X3)+SUMIFS($N$3:$N$228,$K$3:$K$228,X3)</f>
        <v>925.67</v>
      </c>
      <c r="AF3" s="38">
        <f>SUM(AD3-AE3)</f>
        <v>283.33000000000004</v>
      </c>
      <c r="AG3" s="20">
        <f>SUM(AD3/Z3)</f>
        <v>100.75</v>
      </c>
    </row>
    <row r="4" spans="1:33" ht="17.25" customHeight="1" x14ac:dyDescent="0.25">
      <c r="A4" s="5">
        <f t="shared" ref="A4:A67" si="0">C4-D4</f>
        <v>-21.61</v>
      </c>
      <c r="B4" s="5" t="str">
        <f t="shared" ref="B4:B67" si="1">_xlfn.IFS(A4&gt;=5,"V",A4&lt;=-5,"D",A4&lt;=-4.99,"E",A4&lt;=4.99,"E")</f>
        <v>D</v>
      </c>
      <c r="C4" s="5">
        <f t="shared" ref="C4:C67" si="2">H4</f>
        <v>88.01</v>
      </c>
      <c r="D4" s="5">
        <f t="shared" ref="D4:D67" si="3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4">
        <v>109.62</v>
      </c>
      <c r="K4" s="2" t="s">
        <v>71</v>
      </c>
      <c r="L4" s="58" t="s">
        <v>72</v>
      </c>
      <c r="M4" s="4"/>
      <c r="N4" s="5">
        <f t="shared" ref="N4:N67" si="4">H4</f>
        <v>88.01</v>
      </c>
      <c r="O4" s="5">
        <f t="shared" ref="O4:O67" si="5">J4</f>
        <v>109.62</v>
      </c>
      <c r="P4" s="5" t="str">
        <f t="shared" ref="P4:P67" si="6">_xlfn.IFS(Q4&gt;=5,"V",Q4&lt;=-5,"D",Q4&lt;=-4.99,"E",Q4&lt;=4.99,"E")</f>
        <v>V</v>
      </c>
      <c r="Q4" s="5">
        <f t="shared" ref="Q4:Q67" si="7">J4-H4</f>
        <v>21.61</v>
      </c>
      <c r="X4" s="28" t="s">
        <v>93</v>
      </c>
      <c r="Y4" s="60">
        <f>SUM((AA4*3)+AB4)</f>
        <v>27</v>
      </c>
      <c r="Z4" s="60">
        <f>SUM(AA4+AB4+AC4)</f>
        <v>12</v>
      </c>
      <c r="AA4" s="61">
        <f>COUNTIFS($G$3:$G$228,X4,$B$3:$B$228,"V")+COUNTIFS($K$3:$K$228,X4,$P$3:$P$228,"V")</f>
        <v>8</v>
      </c>
      <c r="AB4" s="61">
        <f>COUNTIFS($G$3:$G$228,X4,$B$3:$B$228,"E",$H$3:$H$228,"&lt;&gt;"&amp;"")+COUNTIFS($K$3:$K$228,X4,$P$3:$P$228,"E",$J$3:$J$228,"&lt;&gt;"&amp;"")</f>
        <v>3</v>
      </c>
      <c r="AC4" s="61">
        <f>COUNTIFS($G$3:$G$228,X4,$B$3:$B$228,"D")+COUNTIFS($K$3:$K$228,X4,$P$3:$P$228,"D")</f>
        <v>1</v>
      </c>
      <c r="AD4" s="61">
        <f>SUMIFS($C$3:$C$228,$G$3:$G$228,X4)+SUMIFS($O$3:$O$228,$K$3:$K$228,X4)</f>
        <v>1056.1100000000001</v>
      </c>
      <c r="AE4" s="61">
        <f>SUMIFS($D$3:$D$228,$G$3:$G$228,X4)+SUMIFS($N$3:$N$228,$K$3:$K$228,X4)</f>
        <v>765.17000000000007</v>
      </c>
      <c r="AF4" s="60">
        <f>SUM(AD4-AE4)</f>
        <v>290.94000000000005</v>
      </c>
      <c r="AG4" s="21">
        <f>SUM(AD4/Z4)</f>
        <v>88.009166666666673</v>
      </c>
    </row>
    <row r="5" spans="1:33" ht="17.25" customHeight="1" x14ac:dyDescent="0.25">
      <c r="A5" s="5">
        <f t="shared" si="0"/>
        <v>75.73</v>
      </c>
      <c r="B5" s="5" t="str">
        <f t="shared" si="1"/>
        <v>V</v>
      </c>
      <c r="C5" s="5">
        <f t="shared" si="2"/>
        <v>117.93</v>
      </c>
      <c r="D5" s="5">
        <f t="shared" si="3"/>
        <v>42.2</v>
      </c>
      <c r="E5" s="4"/>
      <c r="F5" s="58" t="s">
        <v>65</v>
      </c>
      <c r="G5" s="2" t="s">
        <v>64</v>
      </c>
      <c r="H5" s="74">
        <v>117.93</v>
      </c>
      <c r="I5" s="2" t="s">
        <v>52</v>
      </c>
      <c r="J5" s="67">
        <v>42.2</v>
      </c>
      <c r="K5" s="2" t="s">
        <v>99</v>
      </c>
      <c r="L5" s="58" t="s">
        <v>100</v>
      </c>
      <c r="M5" s="4"/>
      <c r="N5" s="5">
        <f t="shared" si="4"/>
        <v>117.93</v>
      </c>
      <c r="O5" s="5">
        <f t="shared" si="5"/>
        <v>42.2</v>
      </c>
      <c r="P5" s="5" t="str">
        <f t="shared" si="6"/>
        <v>D</v>
      </c>
      <c r="Q5" s="5">
        <f t="shared" si="7"/>
        <v>-75.73</v>
      </c>
      <c r="X5" s="28" t="s">
        <v>95</v>
      </c>
      <c r="Y5" s="39">
        <f>SUM((AA5*3)+AB5)</f>
        <v>25</v>
      </c>
      <c r="Z5" s="39">
        <f>SUM(AA5+AB5+AC5)</f>
        <v>12</v>
      </c>
      <c r="AA5" s="40">
        <f>COUNTIFS($G$3:$G$228,X5,$B$3:$B$228,"V")+COUNTIFS($K$3:$K$228,X5,$P$3:$P$228,"V")</f>
        <v>7</v>
      </c>
      <c r="AB5" s="40">
        <f>COUNTIFS($G$3:$G$228,X5,$B$3:$B$228,"E",$H$3:$H$228,"&lt;&gt;"&amp;"")+COUNTIFS($K$3:$K$228,X5,$P$3:$P$228,"E",$J$3:$J$228,"&lt;&gt;"&amp;"")</f>
        <v>4</v>
      </c>
      <c r="AC5" s="40">
        <f>COUNTIFS($G$3:$G$228,X5,$B$3:$B$228,"D")+COUNTIFS($K$3:$K$228,X5,$P$3:$P$228,"D")</f>
        <v>1</v>
      </c>
      <c r="AD5" s="40">
        <f>SUMIFS($C$3:$C$228,$G$3:$G$228,X5)+SUMIFS($O$3:$O$228,$K$3:$K$228,X5)</f>
        <v>1069.3200000000002</v>
      </c>
      <c r="AE5" s="40">
        <f>SUMIFS($D$3:$D$228,$G$3:$G$228,X5)+SUMIFS($N$3:$N$228,$K$3:$K$228,X5)</f>
        <v>731.51</v>
      </c>
      <c r="AF5" s="76">
        <f>SUM(AD5-AE5)</f>
        <v>337.81000000000017</v>
      </c>
      <c r="AG5" s="21">
        <f>SUM(AD5/Z5)</f>
        <v>89.110000000000014</v>
      </c>
    </row>
    <row r="6" spans="1:33" ht="17.25" customHeight="1" x14ac:dyDescent="0.25">
      <c r="A6" s="5">
        <f t="shared" si="0"/>
        <v>61.129999999999995</v>
      </c>
      <c r="B6" s="5" t="str">
        <f t="shared" si="1"/>
        <v>V</v>
      </c>
      <c r="C6" s="5">
        <f t="shared" si="2"/>
        <v>105.71</v>
      </c>
      <c r="D6" s="5">
        <f t="shared" si="3"/>
        <v>44.58</v>
      </c>
      <c r="E6" s="4"/>
      <c r="F6" s="58" t="s">
        <v>73</v>
      </c>
      <c r="G6" s="2" t="s">
        <v>74</v>
      </c>
      <c r="H6" s="74">
        <v>105.71</v>
      </c>
      <c r="I6" s="2" t="s">
        <v>52</v>
      </c>
      <c r="J6" s="67">
        <v>44.58</v>
      </c>
      <c r="K6" s="2" t="s">
        <v>90</v>
      </c>
      <c r="L6" s="58" t="s">
        <v>91</v>
      </c>
      <c r="M6" s="4"/>
      <c r="N6" s="5">
        <f t="shared" si="4"/>
        <v>105.71</v>
      </c>
      <c r="O6" s="5">
        <f t="shared" si="5"/>
        <v>44.58</v>
      </c>
      <c r="P6" s="5" t="str">
        <f t="shared" si="6"/>
        <v>D</v>
      </c>
      <c r="Q6" s="5">
        <f t="shared" si="7"/>
        <v>-61.129999999999995</v>
      </c>
      <c r="X6" s="28" t="s">
        <v>64</v>
      </c>
      <c r="Y6" s="60">
        <f>SUM((AA6*3)+AB6)</f>
        <v>24</v>
      </c>
      <c r="Z6" s="60">
        <f>SUM(AA6+AB6+AC6)</f>
        <v>12</v>
      </c>
      <c r="AA6" s="61">
        <f>COUNTIFS($G$3:$G$228,X6,$B$3:$B$228,"V")+COUNTIFS($K$3:$K$228,X6,$P$3:$P$228,"V")</f>
        <v>7</v>
      </c>
      <c r="AB6" s="61">
        <f>COUNTIFS($G$3:$G$228,X6,$B$3:$B$228,"E",$H$3:$H$228,"&lt;&gt;"&amp;"")+COUNTIFS($K$3:$K$228,X6,$P$3:$P$228,"E",$J$3:$J$228,"&lt;&gt;"&amp;"")</f>
        <v>3</v>
      </c>
      <c r="AC6" s="61">
        <f>COUNTIFS($G$3:$G$228,X6,$B$3:$B$228,"D")+COUNTIFS($K$3:$K$228,X6,$P$3:$P$228,"D")</f>
        <v>2</v>
      </c>
      <c r="AD6" s="61">
        <f>SUMIFS($C$3:$C$228,$G$3:$G$228,X6)+SUMIFS($O$3:$O$228,$K$3:$K$228,X6)</f>
        <v>1163.6999999999998</v>
      </c>
      <c r="AE6" s="61">
        <f>SUMIFS($D$3:$D$228,$G$3:$G$228,X6)+SUMIFS($N$3:$N$228,$K$3:$K$228,X6)</f>
        <v>992.56999999999994</v>
      </c>
      <c r="AF6" s="60">
        <f>SUM(AD6-AE6)</f>
        <v>171.12999999999988</v>
      </c>
      <c r="AG6" s="21">
        <f>SUM(AD6/Z6)</f>
        <v>96.97499999999998</v>
      </c>
    </row>
    <row r="7" spans="1:33" ht="17.25" customHeight="1" x14ac:dyDescent="0.25">
      <c r="A7" s="5">
        <f t="shared" si="0"/>
        <v>-37.760000000000005</v>
      </c>
      <c r="B7" s="5" t="str">
        <f t="shared" si="1"/>
        <v>D</v>
      </c>
      <c r="C7" s="5">
        <f t="shared" si="2"/>
        <v>66.75</v>
      </c>
      <c r="D7" s="5">
        <f t="shared" si="3"/>
        <v>104.51</v>
      </c>
      <c r="E7" s="4"/>
      <c r="F7" s="58" t="s">
        <v>75</v>
      </c>
      <c r="G7" s="2" t="s">
        <v>76</v>
      </c>
      <c r="H7" s="67">
        <v>66.75</v>
      </c>
      <c r="I7" s="2" t="s">
        <v>52</v>
      </c>
      <c r="J7" s="74">
        <v>104.51</v>
      </c>
      <c r="K7" s="2" t="s">
        <v>77</v>
      </c>
      <c r="L7" s="58" t="s">
        <v>78</v>
      </c>
      <c r="M7" s="4"/>
      <c r="N7" s="5">
        <f t="shared" si="4"/>
        <v>66.75</v>
      </c>
      <c r="O7" s="5">
        <f t="shared" si="5"/>
        <v>104.51</v>
      </c>
      <c r="P7" s="5" t="str">
        <f t="shared" si="6"/>
        <v>V</v>
      </c>
      <c r="Q7" s="5">
        <f t="shared" si="7"/>
        <v>37.760000000000005</v>
      </c>
      <c r="X7" s="28" t="s">
        <v>77</v>
      </c>
      <c r="Y7" s="39">
        <f>SUM((AA7*3)+AB7)</f>
        <v>22</v>
      </c>
      <c r="Z7" s="39">
        <f>SUM(AA7+AB7+AC7)</f>
        <v>12</v>
      </c>
      <c r="AA7" s="40">
        <f>COUNTIFS($G$3:$G$228,X7,$B$3:$B$228,"V")+COUNTIFS($K$3:$K$228,X7,$P$3:$P$228,"V")</f>
        <v>7</v>
      </c>
      <c r="AB7" s="40">
        <f>COUNTIFS($G$3:$G$228,X7,$B$3:$B$228,"E",$H$3:$H$228,"&lt;&gt;"&amp;"")+COUNTIFS($K$3:$K$228,X7,$P$3:$P$228,"E",$J$3:$J$228,"&lt;&gt;"&amp;"")</f>
        <v>1</v>
      </c>
      <c r="AC7" s="40">
        <f>COUNTIFS($G$3:$G$228,X7,$B$3:$B$228,"D")+COUNTIFS($K$3:$K$228,X7,$P$3:$P$228,"D")</f>
        <v>4</v>
      </c>
      <c r="AD7" s="40">
        <f>SUMIFS($C$3:$C$228,$G$3:$G$228,X7)+SUMIFS($O$3:$O$228,$K$3:$K$228,X7)</f>
        <v>1090.0900000000001</v>
      </c>
      <c r="AE7" s="40">
        <f>SUMIFS($D$3:$D$228,$G$3:$G$228,X7)+SUMIFS($N$3:$N$228,$K$3:$K$228,X7)</f>
        <v>905.78</v>
      </c>
      <c r="AF7" s="60">
        <f>SUM(AD7-AE7)</f>
        <v>184.31000000000017</v>
      </c>
      <c r="AG7" s="21">
        <f>SUM(AD7/Z7)</f>
        <v>90.84083333333335</v>
      </c>
    </row>
    <row r="8" spans="1:33" ht="17.25" customHeight="1" x14ac:dyDescent="0.25">
      <c r="A8" s="5">
        <f t="shared" si="0"/>
        <v>33.040000000000006</v>
      </c>
      <c r="B8" s="5" t="str">
        <f t="shared" si="1"/>
        <v>V</v>
      </c>
      <c r="C8" s="5">
        <f t="shared" si="2"/>
        <v>120.61</v>
      </c>
      <c r="D8" s="5">
        <f t="shared" si="3"/>
        <v>87.57</v>
      </c>
      <c r="E8" s="4"/>
      <c r="F8" s="58" t="s">
        <v>66</v>
      </c>
      <c r="G8" s="2" t="s">
        <v>92</v>
      </c>
      <c r="H8" s="74">
        <v>120.61</v>
      </c>
      <c r="I8" s="2" t="s">
        <v>52</v>
      </c>
      <c r="J8" s="67">
        <v>87.57</v>
      </c>
      <c r="K8" s="2" t="s">
        <v>97</v>
      </c>
      <c r="L8" s="58" t="s">
        <v>98</v>
      </c>
      <c r="M8" s="4"/>
      <c r="N8" s="5">
        <f t="shared" si="4"/>
        <v>120.61</v>
      </c>
      <c r="O8" s="5">
        <f t="shared" si="5"/>
        <v>87.57</v>
      </c>
      <c r="P8" s="5" t="str">
        <f t="shared" si="6"/>
        <v>D</v>
      </c>
      <c r="Q8" s="5">
        <f t="shared" si="7"/>
        <v>-33.040000000000006</v>
      </c>
      <c r="X8" s="28" t="s">
        <v>68</v>
      </c>
      <c r="Y8" s="39">
        <f>SUM((AA8*3)+AB8)</f>
        <v>22</v>
      </c>
      <c r="Z8" s="39">
        <f>SUM(AA8+AB8+AC8)</f>
        <v>12</v>
      </c>
      <c r="AA8" s="40">
        <f>COUNTIFS($G$3:$G$228,X8,$B$3:$B$228,"V")+COUNTIFS($K$3:$K$228,X8,$P$3:$P$228,"V")</f>
        <v>7</v>
      </c>
      <c r="AB8" s="40">
        <f>COUNTIFS($G$3:$G$228,X8,$B$3:$B$228,"E",$H$3:$H$228,"&lt;&gt;"&amp;"")+COUNTIFS($K$3:$K$228,X8,$P$3:$P$228,"E",$J$3:$J$228,"&lt;&gt;"&amp;"")</f>
        <v>1</v>
      </c>
      <c r="AC8" s="40">
        <f>COUNTIFS($G$3:$G$228,X8,$B$3:$B$228,"D")+COUNTIFS($K$3:$K$228,X8,$P$3:$P$228,"D")</f>
        <v>4</v>
      </c>
      <c r="AD8" s="40">
        <f>SUMIFS($C$3:$C$228,$G$3:$G$228,X8)+SUMIFS($O$3:$O$228,$K$3:$K$228,X8)</f>
        <v>1110.72</v>
      </c>
      <c r="AE8" s="40">
        <f>SUMIFS($D$3:$D$228,$G$3:$G$228,X8)+SUMIFS($N$3:$N$228,$K$3:$K$228,X8)</f>
        <v>936.34999999999991</v>
      </c>
      <c r="AF8" s="60">
        <f>SUM(AD8-AE8)</f>
        <v>174.37000000000012</v>
      </c>
      <c r="AG8" s="21">
        <f>SUM(AD8/Z8)</f>
        <v>92.56</v>
      </c>
    </row>
    <row r="9" spans="1:33" ht="17.25" customHeight="1" x14ac:dyDescent="0.25">
      <c r="A9" s="5">
        <f t="shared" si="0"/>
        <v>-0.45000000000000284</v>
      </c>
      <c r="B9" s="5" t="str">
        <f t="shared" si="1"/>
        <v>E</v>
      </c>
      <c r="C9" s="5">
        <f t="shared" si="2"/>
        <v>121.66</v>
      </c>
      <c r="D9" s="5">
        <f t="shared" si="3"/>
        <v>122.11</v>
      </c>
      <c r="E9" s="4"/>
      <c r="F9" s="58" t="s">
        <v>63</v>
      </c>
      <c r="G9" s="2" t="s">
        <v>62</v>
      </c>
      <c r="H9" s="75">
        <v>121.66</v>
      </c>
      <c r="I9" s="2" t="s">
        <v>52</v>
      </c>
      <c r="J9" s="75">
        <v>122.11</v>
      </c>
      <c r="K9" s="71" t="s">
        <v>88</v>
      </c>
      <c r="L9" s="58" t="s">
        <v>89</v>
      </c>
      <c r="M9" s="4"/>
      <c r="N9" s="5">
        <f t="shared" si="4"/>
        <v>121.66</v>
      </c>
      <c r="O9" s="5">
        <f t="shared" si="5"/>
        <v>122.11</v>
      </c>
      <c r="P9" s="5" t="str">
        <f t="shared" si="6"/>
        <v>E</v>
      </c>
      <c r="Q9" s="5">
        <f t="shared" si="7"/>
        <v>0.45000000000000284</v>
      </c>
      <c r="X9" s="28" t="s">
        <v>76</v>
      </c>
      <c r="Y9" s="39">
        <f>SUM((AA9*3)+AB9)</f>
        <v>18</v>
      </c>
      <c r="Z9" s="39">
        <f>SUM(AA9+AB9+AC9)</f>
        <v>12</v>
      </c>
      <c r="AA9" s="40">
        <f>COUNTIFS($G$3:$G$228,X9,$B$3:$B$228,"V")+COUNTIFS($K$3:$K$228,X9,$P$3:$P$228,"V")</f>
        <v>5</v>
      </c>
      <c r="AB9" s="40">
        <f>COUNTIFS($G$3:$G$228,X9,$B$3:$B$228,"E",$H$3:$H$228,"&lt;&gt;"&amp;"")+COUNTIFS($K$3:$K$228,X9,$P$3:$P$228,"E",$J$3:$J$228,"&lt;&gt;"&amp;"")</f>
        <v>3</v>
      </c>
      <c r="AC9" s="40">
        <f>COUNTIFS($G$3:$G$228,X9,$B$3:$B$228,"D")+COUNTIFS($K$3:$K$228,X9,$P$3:$P$228,"D")</f>
        <v>4</v>
      </c>
      <c r="AD9" s="40">
        <f>SUMIFS($C$3:$C$228,$G$3:$G$228,X9)+SUMIFS($O$3:$O$228,$K$3:$K$228,X9)</f>
        <v>1018.92</v>
      </c>
      <c r="AE9" s="40">
        <f>SUMIFS($D$3:$D$228,$G$3:$G$228,X9)+SUMIFS($N$3:$N$228,$K$3:$K$228,X9)</f>
        <v>930.41</v>
      </c>
      <c r="AF9" s="39">
        <f>SUM(AD9-AE9)</f>
        <v>88.509999999999991</v>
      </c>
      <c r="AG9" s="21">
        <f>SUM(AD9/Z9)</f>
        <v>84.91</v>
      </c>
    </row>
    <row r="10" spans="1:33" ht="17.25" customHeight="1" x14ac:dyDescent="0.25">
      <c r="A10" s="5">
        <f t="shared" si="0"/>
        <v>-61.970000000000006</v>
      </c>
      <c r="B10" s="5" t="str">
        <f t="shared" si="1"/>
        <v>D</v>
      </c>
      <c r="C10" s="5">
        <f t="shared" si="2"/>
        <v>46.48</v>
      </c>
      <c r="D10" s="5">
        <f t="shared" si="3"/>
        <v>108.45</v>
      </c>
      <c r="E10" s="4"/>
      <c r="F10" s="58" t="s">
        <v>80</v>
      </c>
      <c r="G10" s="2" t="s">
        <v>79</v>
      </c>
      <c r="H10" s="67">
        <v>46.48</v>
      </c>
      <c r="I10" s="2" t="s">
        <v>52</v>
      </c>
      <c r="J10" s="74">
        <v>108.45</v>
      </c>
      <c r="K10" s="2" t="s">
        <v>81</v>
      </c>
      <c r="L10" s="58" t="s">
        <v>82</v>
      </c>
      <c r="M10" s="4"/>
      <c r="N10" s="5">
        <f t="shared" si="4"/>
        <v>46.48</v>
      </c>
      <c r="O10" s="5">
        <f t="shared" si="5"/>
        <v>108.45</v>
      </c>
      <c r="P10" s="5" t="str">
        <f t="shared" si="6"/>
        <v>V</v>
      </c>
      <c r="Q10" s="5">
        <f t="shared" si="7"/>
        <v>61.970000000000006</v>
      </c>
      <c r="X10" s="28" t="s">
        <v>60</v>
      </c>
      <c r="Y10" s="60">
        <f>SUM((AA10*3)+AB10)</f>
        <v>18</v>
      </c>
      <c r="Z10" s="60">
        <f>SUM(AA10+AB10+AC10)</f>
        <v>12</v>
      </c>
      <c r="AA10" s="61">
        <f>COUNTIFS($G$3:$G$228,X10,$B$3:$B$228,"V")+COUNTIFS($K$3:$K$228,X10,$P$3:$P$228,"V")</f>
        <v>5</v>
      </c>
      <c r="AB10" s="61">
        <f>COUNTIFS($G$3:$G$228,X10,$B$3:$B$228,"E",$H$3:$H$228,"&lt;&gt;"&amp;"")+COUNTIFS($K$3:$K$228,X10,$P$3:$P$228,"E",$J$3:$J$228,"&lt;&gt;"&amp;"")</f>
        <v>3</v>
      </c>
      <c r="AC10" s="61">
        <f>COUNTIFS($G$3:$G$228,X10,$B$3:$B$228,"D")+COUNTIFS($K$3:$K$228,X10,$P$3:$P$228,"D")</f>
        <v>4</v>
      </c>
      <c r="AD10" s="61">
        <f>SUMIFS($C$3:$C$228,$G$3:$G$228,X10)+SUMIFS($O$3:$O$228,$K$3:$K$228,X10)</f>
        <v>1088.1799999999998</v>
      </c>
      <c r="AE10" s="61">
        <f>SUMIFS($D$3:$D$228,$G$3:$G$228,X10)+SUMIFS($N$3:$N$228,$K$3:$K$228,X10)</f>
        <v>1014.0200000000001</v>
      </c>
      <c r="AF10" s="60">
        <f>SUM(AD10-AE10)</f>
        <v>74.159999999999741</v>
      </c>
      <c r="AG10" s="21">
        <f>SUM(AD10/Z10)</f>
        <v>90.681666666666658</v>
      </c>
    </row>
    <row r="11" spans="1:33" ht="17.25" customHeight="1" x14ac:dyDescent="0.25">
      <c r="A11" s="5">
        <f t="shared" si="0"/>
        <v>76.2</v>
      </c>
      <c r="B11" s="5" t="str">
        <f t="shared" si="1"/>
        <v>V</v>
      </c>
      <c r="C11" s="5">
        <f t="shared" si="2"/>
        <v>93.28</v>
      </c>
      <c r="D11" s="5">
        <f t="shared" si="3"/>
        <v>17.079999999999998</v>
      </c>
      <c r="E11" s="4"/>
      <c r="F11" s="58" t="s">
        <v>94</v>
      </c>
      <c r="G11" s="2" t="s">
        <v>93</v>
      </c>
      <c r="H11" s="74">
        <v>93.28</v>
      </c>
      <c r="I11" s="2" t="s">
        <v>52</v>
      </c>
      <c r="J11" s="67">
        <v>17.079999999999998</v>
      </c>
      <c r="K11" s="2" t="s">
        <v>84</v>
      </c>
      <c r="L11" s="58" t="s">
        <v>85</v>
      </c>
      <c r="M11" s="4"/>
      <c r="N11" s="5">
        <f t="shared" si="4"/>
        <v>93.28</v>
      </c>
      <c r="O11" s="5">
        <f t="shared" si="5"/>
        <v>17.079999999999998</v>
      </c>
      <c r="P11" s="5" t="str">
        <f t="shared" si="6"/>
        <v>D</v>
      </c>
      <c r="Q11" s="5">
        <f t="shared" si="7"/>
        <v>-76.2</v>
      </c>
      <c r="X11" s="28" t="s">
        <v>90</v>
      </c>
      <c r="Y11" s="39">
        <f>SUM((AA11*3)+AB11)</f>
        <v>17</v>
      </c>
      <c r="Z11" s="39">
        <f>SUM(AA11+AB11+AC11)</f>
        <v>12</v>
      </c>
      <c r="AA11" s="40">
        <f>COUNTIFS($G$3:$G$228,X11,$B$3:$B$228,"V")+COUNTIFS($K$3:$K$228,X11,$P$3:$P$228,"V")</f>
        <v>4</v>
      </c>
      <c r="AB11" s="40">
        <f>COUNTIFS($G$3:$G$228,X11,$B$3:$B$228,"E",$H$3:$H$228,"&lt;&gt;"&amp;"")+COUNTIFS($K$3:$K$228,X11,$P$3:$P$228,"E",$J$3:$J$228,"&lt;&gt;"&amp;"")</f>
        <v>5</v>
      </c>
      <c r="AC11" s="40">
        <f>COUNTIFS($G$3:$G$228,X11,$B$3:$B$228,"D")+COUNTIFS($K$3:$K$228,X11,$P$3:$P$228,"D")</f>
        <v>3</v>
      </c>
      <c r="AD11" s="40">
        <f>SUMIFS($C$3:$C$228,$G$3:$G$228,X11)+SUMIFS($O$3:$O$228,$K$3:$K$228,X11)</f>
        <v>1036.51</v>
      </c>
      <c r="AE11" s="40">
        <f>SUMIFS($D$3:$D$228,$G$3:$G$228,X11)+SUMIFS($N$3:$N$228,$K$3:$K$228,X11)</f>
        <v>866.45</v>
      </c>
      <c r="AF11" s="39">
        <f>SUM(AD11-AE11)</f>
        <v>170.05999999999995</v>
      </c>
      <c r="AG11" s="21">
        <f>SUM(AD11/Z11)</f>
        <v>86.375833333333333</v>
      </c>
    </row>
    <row r="12" spans="1:33" ht="17.25" customHeight="1" x14ac:dyDescent="0.25">
      <c r="A12" s="5">
        <f t="shared" si="0"/>
        <v>-1.5</v>
      </c>
      <c r="B12" s="5" t="str">
        <f t="shared" si="1"/>
        <v>E</v>
      </c>
      <c r="C12" s="5">
        <f t="shared" si="2"/>
        <v>88.51</v>
      </c>
      <c r="D12" s="5">
        <f t="shared" si="3"/>
        <v>90.01</v>
      </c>
      <c r="E12" s="4"/>
      <c r="F12" s="58" t="s">
        <v>61</v>
      </c>
      <c r="G12" s="2" t="s">
        <v>60</v>
      </c>
      <c r="H12" s="75">
        <v>88.51</v>
      </c>
      <c r="I12" s="2" t="s">
        <v>52</v>
      </c>
      <c r="J12" s="75">
        <v>90.01</v>
      </c>
      <c r="K12" s="2" t="s">
        <v>95</v>
      </c>
      <c r="L12" s="58" t="s">
        <v>96</v>
      </c>
      <c r="M12" s="4"/>
      <c r="N12" s="5">
        <f t="shared" si="4"/>
        <v>88.51</v>
      </c>
      <c r="O12" s="5">
        <f t="shared" si="5"/>
        <v>90.01</v>
      </c>
      <c r="P12" s="5" t="str">
        <f t="shared" si="6"/>
        <v>E</v>
      </c>
      <c r="Q12" s="5">
        <f t="shared" si="7"/>
        <v>1.5</v>
      </c>
      <c r="X12" s="28" t="s">
        <v>84</v>
      </c>
      <c r="Y12" s="60">
        <f>SUM((AA12*3)+AB12)</f>
        <v>16</v>
      </c>
      <c r="Z12" s="60">
        <f>SUM(AA12+AB12+AC12)</f>
        <v>12</v>
      </c>
      <c r="AA12" s="61">
        <f>COUNTIFS($G$3:$G$228,X12,$B$3:$B$228,"V")+COUNTIFS($K$3:$K$228,X12,$P$3:$P$228,"V")</f>
        <v>5</v>
      </c>
      <c r="AB12" s="61">
        <f>COUNTIFS($G$3:$G$228,X12,$B$3:$B$228,"E",$H$3:$H$228,"&lt;&gt;"&amp;"")+COUNTIFS($K$3:$K$228,X12,$P$3:$P$228,"E",$J$3:$J$228,"&lt;&gt;"&amp;"")</f>
        <v>1</v>
      </c>
      <c r="AC12" s="61">
        <f>COUNTIFS($G$3:$G$228,X12,$B$3:$B$228,"D")+COUNTIFS($K$3:$K$228,X12,$P$3:$P$228,"D")</f>
        <v>6</v>
      </c>
      <c r="AD12" s="61">
        <f>SUMIFS($C$3:$C$228,$G$3:$G$228,X12)+SUMIFS($O$3:$O$228,$K$3:$K$228,X12)</f>
        <v>594.95000000000005</v>
      </c>
      <c r="AE12" s="61">
        <f>SUMIFS($D$3:$D$228,$G$3:$G$228,X12)+SUMIFS($N$3:$N$228,$K$3:$K$228,X12)</f>
        <v>759.34</v>
      </c>
      <c r="AF12" s="60">
        <f>SUM(AD12-AE12)</f>
        <v>-164.39</v>
      </c>
      <c r="AG12" s="21">
        <f>SUM(AD12/Z12)</f>
        <v>49.579166666666673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37" t="s">
        <v>88</v>
      </c>
      <c r="Y13" s="40">
        <f>SUM((AA13*3)+AB13)</f>
        <v>16</v>
      </c>
      <c r="Z13" s="40">
        <f>SUM(AA13+AB13+AC13)</f>
        <v>12</v>
      </c>
      <c r="AA13" s="40">
        <f>COUNTIFS($G$3:$G$228,X13,$B$3:$B$228,"V")+COUNTIFS($K$3:$K$228,X13,$P$3:$P$228,"V")</f>
        <v>4</v>
      </c>
      <c r="AB13" s="40">
        <f>COUNTIFS($G$3:$G$228,X13,$B$3:$B$228,"E",$H$3:$H$228,"&lt;&gt;"&amp;"")+COUNTIFS($K$3:$K$228,X13,$P$3:$P$228,"E",$J$3:$J$228,"&lt;&gt;"&amp;"")</f>
        <v>4</v>
      </c>
      <c r="AC13" s="40">
        <f>COUNTIFS($G$3:$G$228,X13,$B$3:$B$228,"D")+COUNTIFS($K$3:$K$228,X13,$P$3:$P$228,"D")</f>
        <v>4</v>
      </c>
      <c r="AD13" s="40">
        <f>SUMIFS($C$3:$C$228,$G$3:$G$228,X13)+SUMIFS($O$3:$O$228,$K$3:$K$228,X13)</f>
        <v>1114.4099999999999</v>
      </c>
      <c r="AE13" s="40">
        <f>SUMIFS($D$3:$D$228,$G$3:$G$228,X13)+SUMIFS($N$3:$N$228,$K$3:$K$228,X13)</f>
        <v>1106.83</v>
      </c>
      <c r="AF13" s="40">
        <f>SUM(AD13-AE13)</f>
        <v>7.5799999999999272</v>
      </c>
      <c r="AG13" s="21">
        <f>SUM(AD13/Z13)</f>
        <v>92.867499999999993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62</v>
      </c>
      <c r="Y14" s="40">
        <f>SUM((AA14*3)+AB14)</f>
        <v>16</v>
      </c>
      <c r="Z14" s="40">
        <f>SUM(AA14+AB14+AC14)</f>
        <v>12</v>
      </c>
      <c r="AA14" s="40">
        <f>COUNTIFS($G$3:$G$228,X14,$B$3:$B$228,"V")+COUNTIFS($K$3:$K$228,X14,$P$3:$P$228,"V")</f>
        <v>4</v>
      </c>
      <c r="AB14" s="40">
        <f>COUNTIFS($G$3:$G$228,X14,$B$3:$B$228,"E",$H$3:$H$228,"&lt;&gt;"&amp;"")+COUNTIFS($K$3:$K$228,X14,$P$3:$P$228,"E",$J$3:$J$228,"&lt;&gt;"&amp;"")</f>
        <v>4</v>
      </c>
      <c r="AC14" s="40">
        <f>COUNTIFS($G$3:$G$228,X14,$B$3:$B$228,"D")+COUNTIFS($K$3:$K$228,X14,$P$3:$P$228,"D")</f>
        <v>4</v>
      </c>
      <c r="AD14" s="40">
        <f>SUMIFS($C$3:$C$228,$G$3:$G$228,X14)+SUMIFS($O$3:$O$228,$K$3:$K$228,X14)</f>
        <v>917.07999999999993</v>
      </c>
      <c r="AE14" s="40">
        <f>SUMIFS($D$3:$D$228,$G$3:$G$228,X14)+SUMIFS($N$3:$N$228,$K$3:$K$228,X14)</f>
        <v>1038.29</v>
      </c>
      <c r="AF14" s="40">
        <f>SUM(AD14-AE14)</f>
        <v>-121.21000000000004</v>
      </c>
      <c r="AG14" s="21">
        <f>SUM(AD14/Z14)</f>
        <v>76.423333333333332</v>
      </c>
    </row>
    <row r="15" spans="1:33" ht="17.25" customHeight="1" x14ac:dyDescent="0.25">
      <c r="A15" s="5">
        <f t="shared" si="0"/>
        <v>-12.5</v>
      </c>
      <c r="B15" s="5" t="str">
        <f t="shared" si="1"/>
        <v>D</v>
      </c>
      <c r="C15" s="5">
        <f t="shared" si="2"/>
        <v>75.95</v>
      </c>
      <c r="D15" s="5">
        <f t="shared" si="3"/>
        <v>88.45</v>
      </c>
      <c r="E15" s="4"/>
      <c r="F15" s="58" t="s">
        <v>98</v>
      </c>
      <c r="G15" s="2" t="s">
        <v>97</v>
      </c>
      <c r="H15" s="67">
        <v>75.95</v>
      </c>
      <c r="I15" s="2" t="s">
        <v>52</v>
      </c>
      <c r="J15" s="74">
        <v>88.45</v>
      </c>
      <c r="K15" s="2" t="s">
        <v>64</v>
      </c>
      <c r="L15" s="58" t="s">
        <v>65</v>
      </c>
      <c r="M15" s="4"/>
      <c r="N15" s="5">
        <f t="shared" si="4"/>
        <v>75.95</v>
      </c>
      <c r="O15" s="5">
        <f t="shared" si="5"/>
        <v>88.45</v>
      </c>
      <c r="P15" s="5" t="str">
        <f t="shared" si="6"/>
        <v>V</v>
      </c>
      <c r="Q15" s="5">
        <f t="shared" si="7"/>
        <v>12.5</v>
      </c>
      <c r="X15" s="28" t="s">
        <v>71</v>
      </c>
      <c r="Y15" s="39">
        <f>SUM((AA15*3)+AB15)</f>
        <v>15</v>
      </c>
      <c r="Z15" s="39">
        <f>SUM(AA15+AB15+AC15)</f>
        <v>12</v>
      </c>
      <c r="AA15" s="40">
        <f>COUNTIFS($G$3:$G$228,X15,$B$3:$B$228,"V")+COUNTIFS($K$3:$K$228,X15,$P$3:$P$228,"V")</f>
        <v>4</v>
      </c>
      <c r="AB15" s="40">
        <f>COUNTIFS($G$3:$G$228,X15,$B$3:$B$228,"E",$H$3:$H$228,"&lt;&gt;"&amp;"")+COUNTIFS($K$3:$K$228,X15,$P$3:$P$228,"E",$J$3:$J$228,"&lt;&gt;"&amp;"")</f>
        <v>3</v>
      </c>
      <c r="AC15" s="40">
        <f>COUNTIFS($G$3:$G$228,X15,$B$3:$B$228,"D")+COUNTIFS($K$3:$K$228,X15,$P$3:$P$228,"D")</f>
        <v>5</v>
      </c>
      <c r="AD15" s="40">
        <f>SUMIFS($C$3:$C$228,$G$3:$G$228,X15)+SUMIFS($O$3:$O$228,$K$3:$K$228,X15)</f>
        <v>1037.8700000000001</v>
      </c>
      <c r="AE15" s="40">
        <f>SUMIFS($D$3:$D$228,$G$3:$G$228,X15)+SUMIFS($N$3:$N$228,$K$3:$K$228,X15)</f>
        <v>974.04</v>
      </c>
      <c r="AF15" s="39">
        <f>SUM(AD15-AE15)</f>
        <v>63.830000000000155</v>
      </c>
      <c r="AG15" s="21">
        <f>SUM(AD15/Z15)</f>
        <v>86.489166666666677</v>
      </c>
    </row>
    <row r="16" spans="1:33" ht="17.25" customHeight="1" x14ac:dyDescent="0.25">
      <c r="A16" s="5">
        <f t="shared" si="0"/>
        <v>1.0300000000000011</v>
      </c>
      <c r="B16" s="5" t="str">
        <f t="shared" si="1"/>
        <v>E</v>
      </c>
      <c r="C16" s="5">
        <f t="shared" si="2"/>
        <v>83.58</v>
      </c>
      <c r="D16" s="5">
        <f t="shared" si="3"/>
        <v>82.55</v>
      </c>
      <c r="E16" s="4"/>
      <c r="F16" s="58" t="s">
        <v>100</v>
      </c>
      <c r="G16" s="2" t="s">
        <v>99</v>
      </c>
      <c r="H16" s="75">
        <v>83.58</v>
      </c>
      <c r="I16" s="2" t="s">
        <v>52</v>
      </c>
      <c r="J16" s="75">
        <v>82.55</v>
      </c>
      <c r="K16" s="2" t="s">
        <v>62</v>
      </c>
      <c r="L16" s="58" t="s">
        <v>63</v>
      </c>
      <c r="M16" s="4"/>
      <c r="N16" s="5">
        <f t="shared" si="4"/>
        <v>83.58</v>
      </c>
      <c r="O16" s="5">
        <f t="shared" si="5"/>
        <v>82.55</v>
      </c>
      <c r="P16" s="5" t="str">
        <f t="shared" si="6"/>
        <v>E</v>
      </c>
      <c r="Q16" s="5">
        <f t="shared" si="7"/>
        <v>-1.0300000000000011</v>
      </c>
      <c r="X16" s="28" t="s">
        <v>86</v>
      </c>
      <c r="Y16" s="60">
        <f>SUM((AA16*3)+AB16)</f>
        <v>14</v>
      </c>
      <c r="Z16" s="60">
        <f>SUM(AA16+AB16+AC16)</f>
        <v>12</v>
      </c>
      <c r="AA16" s="61">
        <f>COUNTIFS($G$3:$G$228,X16,$B$3:$B$228,"V")+COUNTIFS($K$3:$K$228,X16,$P$3:$P$228,"V")</f>
        <v>3</v>
      </c>
      <c r="AB16" s="61">
        <f>COUNTIFS($G$3:$G$228,X16,$B$3:$B$228,"E",$H$3:$H$228,"&lt;&gt;"&amp;"")+COUNTIFS($K$3:$K$228,X16,$P$3:$P$228,"E",$J$3:$J$228,"&lt;&gt;"&amp;"")</f>
        <v>5</v>
      </c>
      <c r="AC16" s="61">
        <f>COUNTIFS($G$3:$G$228,X16,$B$3:$B$228,"D")+COUNTIFS($K$3:$K$228,X16,$P$3:$P$228,"D")</f>
        <v>4</v>
      </c>
      <c r="AD16" s="61">
        <f>SUMIFS($C$3:$C$228,$G$3:$G$228,X16)+SUMIFS($O$3:$O$228,$K$3:$K$228,X16)</f>
        <v>1027.53</v>
      </c>
      <c r="AE16" s="61">
        <f>SUMIFS($D$3:$D$228,$G$3:$G$228,X16)+SUMIFS($N$3:$N$228,$K$3:$K$228,X16)</f>
        <v>1064.69</v>
      </c>
      <c r="AF16" s="60">
        <f>SUM(AD16-AE16)</f>
        <v>-37.160000000000082</v>
      </c>
      <c r="AG16" s="21">
        <f>SUM(AD16/Z16)</f>
        <v>85.627499999999998</v>
      </c>
    </row>
    <row r="17" spans="1:33" ht="17.25" customHeight="1" x14ac:dyDescent="0.25">
      <c r="A17" s="5">
        <f t="shared" si="0"/>
        <v>-1.5300000000000011</v>
      </c>
      <c r="B17" s="5" t="str">
        <f t="shared" si="1"/>
        <v>E</v>
      </c>
      <c r="C17" s="5">
        <f t="shared" si="2"/>
        <v>87.53</v>
      </c>
      <c r="D17" s="5">
        <f t="shared" si="3"/>
        <v>89.06</v>
      </c>
      <c r="E17" s="4"/>
      <c r="F17" s="58" t="s">
        <v>96</v>
      </c>
      <c r="G17" s="2" t="s">
        <v>95</v>
      </c>
      <c r="H17" s="75">
        <v>87.53</v>
      </c>
      <c r="I17" s="2" t="s">
        <v>52</v>
      </c>
      <c r="J17" s="75">
        <v>89.06</v>
      </c>
      <c r="K17" s="2" t="s">
        <v>93</v>
      </c>
      <c r="L17" s="58" t="s">
        <v>94</v>
      </c>
      <c r="M17" s="4"/>
      <c r="N17" s="5">
        <f t="shared" si="4"/>
        <v>87.53</v>
      </c>
      <c r="O17" s="5">
        <f t="shared" si="5"/>
        <v>89.06</v>
      </c>
      <c r="P17" s="5" t="str">
        <f t="shared" si="6"/>
        <v>E</v>
      </c>
      <c r="Q17" s="5">
        <f t="shared" si="7"/>
        <v>1.5300000000000011</v>
      </c>
      <c r="X17" s="28" t="s">
        <v>81</v>
      </c>
      <c r="Y17" s="61">
        <f>SUM((AA17*3)+AB17)</f>
        <v>13</v>
      </c>
      <c r="Z17" s="61">
        <f>SUM(AA17+AB17+AC17)</f>
        <v>12</v>
      </c>
      <c r="AA17" s="61">
        <f>COUNTIFS($G$3:$G$228,X17,$B$3:$B$228,"V")+COUNTIFS($K$3:$K$228,X17,$P$3:$P$228,"V")</f>
        <v>4</v>
      </c>
      <c r="AB17" s="61">
        <f>COUNTIFS($G$3:$G$228,X17,$B$3:$B$228,"E",$H$3:$H$228,"&lt;&gt;"&amp;"")+COUNTIFS($K$3:$K$228,X17,$P$3:$P$228,"E",$J$3:$J$228,"&lt;&gt;"&amp;"")</f>
        <v>1</v>
      </c>
      <c r="AC17" s="61">
        <f>COUNTIFS($G$3:$G$228,X17,$B$3:$B$228,"D")+COUNTIFS($K$3:$K$228,X17,$P$3:$P$228,"D")</f>
        <v>7</v>
      </c>
      <c r="AD17" s="61">
        <f>SUMIFS($C$3:$C$228,$G$3:$G$228,X17)+SUMIFS($O$3:$O$228,$K$3:$K$228,X17)</f>
        <v>819.96</v>
      </c>
      <c r="AE17" s="61">
        <f>SUMIFS($D$3:$D$228,$G$3:$G$228,X17)+SUMIFS($N$3:$N$228,$K$3:$K$228,X17)</f>
        <v>950.59</v>
      </c>
      <c r="AF17" s="61">
        <f>SUM(AD17-AE17)</f>
        <v>-130.63</v>
      </c>
      <c r="AG17" s="21">
        <f>SUM(AD17/Z17)</f>
        <v>68.33</v>
      </c>
    </row>
    <row r="18" spans="1:33" ht="17.25" customHeight="1" x14ac:dyDescent="0.25">
      <c r="A18" s="5">
        <f t="shared" si="0"/>
        <v>86.2</v>
      </c>
      <c r="B18" s="5" t="str">
        <f t="shared" si="1"/>
        <v>V</v>
      </c>
      <c r="C18" s="5">
        <f t="shared" si="2"/>
        <v>86.2</v>
      </c>
      <c r="D18" s="5">
        <f t="shared" si="3"/>
        <v>0</v>
      </c>
      <c r="E18" s="4"/>
      <c r="F18" s="58" t="s">
        <v>91</v>
      </c>
      <c r="G18" s="2" t="s">
        <v>90</v>
      </c>
      <c r="H18" s="74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4"/>
        <v>86.2</v>
      </c>
      <c r="O18" s="5">
        <f t="shared" si="5"/>
        <v>0</v>
      </c>
      <c r="P18" s="5" t="str">
        <f t="shared" si="6"/>
        <v>D</v>
      </c>
      <c r="Q18" s="5">
        <f t="shared" si="7"/>
        <v>-86.2</v>
      </c>
      <c r="X18" s="28" t="s">
        <v>74</v>
      </c>
      <c r="Y18" s="39">
        <f>SUM((AA18*3)+AB18)</f>
        <v>13</v>
      </c>
      <c r="Z18" s="39">
        <f>SUM(AA18+AB18+AC18)</f>
        <v>12</v>
      </c>
      <c r="AA18" s="40">
        <f>COUNTIFS($G$3:$G$228,X18,$B$3:$B$228,"V")+COUNTIFS($K$3:$K$228,X18,$P$3:$P$228,"V")</f>
        <v>4</v>
      </c>
      <c r="AB18" s="40">
        <f>COUNTIFS($G$3:$G$228,X18,$B$3:$B$228,"E",$H$3:$H$228,"&lt;&gt;"&amp;"")+COUNTIFS($K$3:$K$228,X18,$P$3:$P$228,"E",$J$3:$J$228,"&lt;&gt;"&amp;"")</f>
        <v>1</v>
      </c>
      <c r="AC18" s="40">
        <f>COUNTIFS($G$3:$G$228,X18,$B$3:$B$228,"D")+COUNTIFS($K$3:$K$228,X18,$P$3:$P$228,"D")</f>
        <v>7</v>
      </c>
      <c r="AD18" s="40">
        <f>SUMIFS($C$3:$C$228,$G$3:$G$228,X18)+SUMIFS($O$3:$O$228,$K$3:$K$228,X18)</f>
        <v>815.31000000000006</v>
      </c>
      <c r="AE18" s="40">
        <f>SUMIFS($D$3:$D$228,$G$3:$G$228,X18)+SUMIFS($N$3:$N$228,$K$3:$K$228,X18)</f>
        <v>951.29</v>
      </c>
      <c r="AF18" s="39">
        <f>SUM(AD18-AE18)</f>
        <v>-135.9799999999999</v>
      </c>
      <c r="AG18" s="21">
        <f>SUM(AD18/Z18)</f>
        <v>67.94250000000001</v>
      </c>
    </row>
    <row r="19" spans="1:33" ht="17.25" customHeight="1" x14ac:dyDescent="0.25">
      <c r="A19" s="5">
        <f t="shared" si="0"/>
        <v>11.77000000000001</v>
      </c>
      <c r="B19" s="5" t="str">
        <f t="shared" si="1"/>
        <v>V</v>
      </c>
      <c r="C19" s="5">
        <f t="shared" si="2"/>
        <v>91.9</v>
      </c>
      <c r="D19" s="5">
        <f t="shared" si="3"/>
        <v>80.13</v>
      </c>
      <c r="E19" s="4"/>
      <c r="F19" s="58" t="s">
        <v>83</v>
      </c>
      <c r="G19" s="2" t="s">
        <v>68</v>
      </c>
      <c r="H19" s="74">
        <v>91.9</v>
      </c>
      <c r="I19" s="2" t="s">
        <v>52</v>
      </c>
      <c r="J19" s="67">
        <v>80.13</v>
      </c>
      <c r="K19" s="2" t="s">
        <v>76</v>
      </c>
      <c r="L19" s="58" t="s">
        <v>75</v>
      </c>
      <c r="M19" s="4"/>
      <c r="N19" s="5">
        <f t="shared" si="4"/>
        <v>91.9</v>
      </c>
      <c r="O19" s="5">
        <f t="shared" si="5"/>
        <v>80.13</v>
      </c>
      <c r="P19" s="5" t="str">
        <f t="shared" si="6"/>
        <v>D</v>
      </c>
      <c r="Q19" s="5">
        <f t="shared" si="7"/>
        <v>-11.77000000000001</v>
      </c>
      <c r="X19" s="28" t="s">
        <v>97</v>
      </c>
      <c r="Y19" s="60">
        <f>SUM((AA19*3)+AB19)</f>
        <v>11</v>
      </c>
      <c r="Z19" s="60">
        <f>SUM(AA19+AB19+AC19)</f>
        <v>12</v>
      </c>
      <c r="AA19" s="61">
        <f>COUNTIFS($G$3:$G$228,X19,$B$3:$B$228,"V")+COUNTIFS($K$3:$K$228,X19,$P$3:$P$228,"V")</f>
        <v>3</v>
      </c>
      <c r="AB19" s="61">
        <f>COUNTIFS($G$3:$G$228,X19,$B$3:$B$228,"E",$H$3:$H$228,"&lt;&gt;"&amp;"")+COUNTIFS($K$3:$K$228,X19,$P$3:$P$228,"E",$J$3:$J$228,"&lt;&gt;"&amp;"")</f>
        <v>2</v>
      </c>
      <c r="AC19" s="61">
        <f>COUNTIFS($G$3:$G$228,X19,$B$3:$B$228,"D")+COUNTIFS($K$3:$K$228,X19,$P$3:$P$228,"D")</f>
        <v>7</v>
      </c>
      <c r="AD19" s="61">
        <f>SUMIFS($C$3:$C$228,$G$3:$G$228,X19)+SUMIFS($O$3:$O$228,$K$3:$K$228,X19)</f>
        <v>757.99</v>
      </c>
      <c r="AE19" s="61">
        <f>SUMIFS($D$3:$D$228,$G$3:$G$228,X19)+SUMIFS($N$3:$N$228,$K$3:$K$228,X19)</f>
        <v>861.9</v>
      </c>
      <c r="AF19" s="60">
        <f>SUM(AD19-AE19)</f>
        <v>-103.90999999999997</v>
      </c>
      <c r="AG19" s="21">
        <f>SUM(AD19/Z19)</f>
        <v>63.165833333333332</v>
      </c>
    </row>
    <row r="20" spans="1:33" ht="17.25" customHeight="1" x14ac:dyDescent="0.25">
      <c r="A20" s="5">
        <f t="shared" si="0"/>
        <v>14.739999999999995</v>
      </c>
      <c r="B20" s="5" t="str">
        <f t="shared" si="1"/>
        <v>V</v>
      </c>
      <c r="C20" s="5">
        <f t="shared" si="2"/>
        <v>84.74</v>
      </c>
      <c r="D20" s="5">
        <f t="shared" si="3"/>
        <v>70</v>
      </c>
      <c r="E20" s="4"/>
      <c r="F20" s="58" t="s">
        <v>82</v>
      </c>
      <c r="G20" s="2" t="s">
        <v>81</v>
      </c>
      <c r="H20" s="74">
        <v>84.74</v>
      </c>
      <c r="I20" s="2" t="s">
        <v>52</v>
      </c>
      <c r="J20" s="67">
        <v>70</v>
      </c>
      <c r="K20" s="2" t="s">
        <v>74</v>
      </c>
      <c r="L20" s="58" t="s">
        <v>73</v>
      </c>
      <c r="M20" s="4"/>
      <c r="N20" s="5">
        <f t="shared" si="4"/>
        <v>84.74</v>
      </c>
      <c r="O20" s="5">
        <f t="shared" si="5"/>
        <v>70</v>
      </c>
      <c r="P20" s="5" t="str">
        <f t="shared" si="6"/>
        <v>D</v>
      </c>
      <c r="Q20" s="5">
        <f t="shared" si="7"/>
        <v>-14.739999999999995</v>
      </c>
      <c r="X20" s="37" t="s">
        <v>70</v>
      </c>
      <c r="Y20" s="60">
        <f>SUM((AA20*3)+AB20)</f>
        <v>8</v>
      </c>
      <c r="Z20" s="60">
        <f>SUM(AA20+AB20+AC20)</f>
        <v>12</v>
      </c>
      <c r="AA20" s="61">
        <f>COUNTIFS($G$3:$G$228,X20,$B$3:$B$228,"V")+COUNTIFS($K$3:$K$228,X20,$P$3:$P$228,"V")</f>
        <v>2</v>
      </c>
      <c r="AB20" s="61">
        <f>COUNTIFS($G$3:$G$228,X20,$B$3:$B$228,"E",$H$3:$H$228,"&lt;&gt;"&amp;"")+COUNTIFS($K$3:$K$228,X20,$P$3:$P$228,"E",$J$3:$J$228,"&lt;&gt;"&amp;"")</f>
        <v>2</v>
      </c>
      <c r="AC20" s="61">
        <f>COUNTIFS($G$3:$G$228,X20,$B$3:$B$228,"D")+COUNTIFS($K$3:$K$228,X20,$P$3:$P$228,"D")</f>
        <v>8</v>
      </c>
      <c r="AD20" s="61">
        <f>SUMIFS($C$3:$C$228,$G$3:$G$228,X20)+SUMIFS($O$3:$O$228,$K$3:$K$228,X20)</f>
        <v>748.15</v>
      </c>
      <c r="AE20" s="61">
        <f>SUMIFS($D$3:$D$228,$G$3:$G$228,X20)+SUMIFS($N$3:$N$228,$K$3:$K$228,X20)</f>
        <v>908.42</v>
      </c>
      <c r="AF20" s="60">
        <f>SUM(AD20-AE20)</f>
        <v>-160.26999999999998</v>
      </c>
      <c r="AG20" s="21">
        <f>SUM(AD20/Z20)</f>
        <v>62.345833333333331</v>
      </c>
    </row>
    <row r="21" spans="1:33" ht="17.25" customHeight="1" x14ac:dyDescent="0.25">
      <c r="A21" s="5">
        <f t="shared" si="0"/>
        <v>-4.7100000000000009</v>
      </c>
      <c r="B21" s="5" t="str">
        <f t="shared" si="1"/>
        <v>E</v>
      </c>
      <c r="C21" s="5">
        <f t="shared" si="2"/>
        <v>55.55</v>
      </c>
      <c r="D21" s="5">
        <f t="shared" si="3"/>
        <v>60.26</v>
      </c>
      <c r="E21" s="4"/>
      <c r="F21" s="58" t="s">
        <v>72</v>
      </c>
      <c r="G21" s="2" t="s">
        <v>71</v>
      </c>
      <c r="H21" s="75">
        <v>55.55</v>
      </c>
      <c r="I21" s="2" t="s">
        <v>52</v>
      </c>
      <c r="J21" s="75">
        <v>60.26</v>
      </c>
      <c r="K21" s="2" t="s">
        <v>79</v>
      </c>
      <c r="L21" s="58" t="s">
        <v>80</v>
      </c>
      <c r="M21" s="4"/>
      <c r="N21" s="5">
        <f t="shared" si="4"/>
        <v>55.55</v>
      </c>
      <c r="O21" s="5">
        <f t="shared" si="5"/>
        <v>60.26</v>
      </c>
      <c r="P21" s="5" t="str">
        <f t="shared" si="6"/>
        <v>E</v>
      </c>
      <c r="Q21" s="5">
        <f t="shared" si="7"/>
        <v>4.7100000000000009</v>
      </c>
      <c r="X21" s="28" t="s">
        <v>79</v>
      </c>
      <c r="Y21" s="61">
        <f>SUM((AA21*3)+AB21)</f>
        <v>5</v>
      </c>
      <c r="Z21" s="61">
        <f>SUM(AA21+AB21+AC21)</f>
        <v>12</v>
      </c>
      <c r="AA21" s="61">
        <f>COUNTIFS($G$3:$G$228,X21,$B$3:$B$228,"V")+COUNTIFS($K$3:$K$228,X21,$P$3:$P$228,"V")</f>
        <v>1</v>
      </c>
      <c r="AB21" s="61">
        <f>COUNTIFS($G$3:$G$228,X21,$B$3:$B$228,"E",$H$3:$H$228,"&lt;&gt;"&amp;"")+COUNTIFS($K$3:$K$228,X21,$P$3:$P$228,"E",$J$3:$J$228,"&lt;&gt;"&amp;"")</f>
        <v>2</v>
      </c>
      <c r="AC21" s="61">
        <f>COUNTIFS($G$3:$G$228,X21,$B$3:$B$228,"D")+COUNTIFS($K$3:$K$228,X21,$P$3:$P$228,"D")</f>
        <v>9</v>
      </c>
      <c r="AD21" s="61">
        <f>SUMIFS($C$3:$C$228,$G$3:$G$228,X21)+SUMIFS($O$3:$O$228,$K$3:$K$228,X21)</f>
        <v>437.74</v>
      </c>
      <c r="AE21" s="61">
        <f>SUMIFS($D$3:$D$228,$G$3:$G$228,X21)+SUMIFS($N$3:$N$228,$K$3:$K$228,X21)</f>
        <v>838.81999999999994</v>
      </c>
      <c r="AF21" s="61">
        <f>SUM(AD21-AE21)</f>
        <v>-401.07999999999993</v>
      </c>
      <c r="AG21" s="21">
        <f>SUM(AD21/Z21)</f>
        <v>36.478333333333332</v>
      </c>
    </row>
    <row r="22" spans="1:33" ht="17.25" customHeight="1" x14ac:dyDescent="0.25">
      <c r="A22" s="5">
        <f t="shared" si="0"/>
        <v>25.740000000000009</v>
      </c>
      <c r="B22" s="5" t="str">
        <f t="shared" si="1"/>
        <v>V</v>
      </c>
      <c r="C22" s="5">
        <f t="shared" si="2"/>
        <v>91.93</v>
      </c>
      <c r="D22" s="5">
        <f t="shared" si="3"/>
        <v>66.19</v>
      </c>
      <c r="E22" s="4"/>
      <c r="F22" s="58" t="s">
        <v>85</v>
      </c>
      <c r="G22" s="2" t="s">
        <v>84</v>
      </c>
      <c r="H22" s="74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4"/>
        <v>91.93</v>
      </c>
      <c r="O22" s="5">
        <f t="shared" si="5"/>
        <v>66.19</v>
      </c>
      <c r="P22" s="5" t="str">
        <f t="shared" si="6"/>
        <v>D</v>
      </c>
      <c r="Q22" s="5">
        <f t="shared" si="7"/>
        <v>-25.740000000000009</v>
      </c>
      <c r="X22" s="78" t="s">
        <v>99</v>
      </c>
      <c r="Y22" s="77">
        <f>SUM((AA22*3)+AB22)</f>
        <v>5</v>
      </c>
      <c r="Z22" s="77">
        <f>SUM(AA22+AB22+AC22)</f>
        <v>12</v>
      </c>
      <c r="AA22" s="36">
        <f>COUNTIFS($G$3:$G$228,X22,$B$3:$B$228,"V")+COUNTIFS($K$3:$K$228,X22,$P$3:$P$228,"V")</f>
        <v>1</v>
      </c>
      <c r="AB22" s="36">
        <f>COUNTIFS($G$3:$G$228,X22,$B$3:$B$228,"E",$H$3:$H$228,"&lt;&gt;"&amp;"")+COUNTIFS($K$3:$K$228,X22,$P$3:$P$228,"E",$J$3:$J$228,"&lt;&gt;"&amp;"")</f>
        <v>2</v>
      </c>
      <c r="AC22" s="36">
        <f>COUNTIFS($G$3:$G$228,X22,$B$3:$B$228,"D")+COUNTIFS($K$3:$K$228,X22,$P$3:$P$228,"D")</f>
        <v>9</v>
      </c>
      <c r="AD22" s="36">
        <f>SUMIFS($C$3:$C$228,$G$3:$G$228,X22)+SUMIFS($O$3:$O$228,$K$3:$K$228,X22)</f>
        <v>405.51</v>
      </c>
      <c r="AE22" s="36">
        <f>SUMIFS($D$3:$D$228,$G$3:$G$228,X22)+SUMIFS($N$3:$N$228,$K$3:$K$228,X22)</f>
        <v>996.91</v>
      </c>
      <c r="AF22" s="77">
        <f>SUM(AD22-AE22)</f>
        <v>-591.4</v>
      </c>
      <c r="AG22" s="22">
        <f>SUM(AD22/Z22)</f>
        <v>33.792499999999997</v>
      </c>
    </row>
    <row r="23" spans="1:33" ht="17.25" customHeight="1" x14ac:dyDescent="0.25">
      <c r="A23" s="5">
        <f t="shared" si="0"/>
        <v>-10.700000000000003</v>
      </c>
      <c r="B23" s="5" t="str">
        <f t="shared" si="1"/>
        <v>D</v>
      </c>
      <c r="C23" s="5">
        <f t="shared" si="2"/>
        <v>72.91</v>
      </c>
      <c r="D23" s="5">
        <f t="shared" si="3"/>
        <v>83.61</v>
      </c>
      <c r="E23" s="4"/>
      <c r="F23" s="58" t="s">
        <v>89</v>
      </c>
      <c r="G23" s="71" t="s">
        <v>88</v>
      </c>
      <c r="H23" s="67">
        <v>72.91</v>
      </c>
      <c r="I23" s="2" t="s">
        <v>52</v>
      </c>
      <c r="J23" s="74">
        <v>83.61</v>
      </c>
      <c r="K23" s="2" t="s">
        <v>92</v>
      </c>
      <c r="L23" s="58" t="s">
        <v>66</v>
      </c>
      <c r="M23" s="4"/>
      <c r="N23" s="5">
        <f t="shared" si="4"/>
        <v>72.91</v>
      </c>
      <c r="O23" s="5">
        <f t="shared" si="5"/>
        <v>83.61</v>
      </c>
      <c r="P23" s="5" t="str">
        <f t="shared" si="6"/>
        <v>V</v>
      </c>
      <c r="Q23" s="5">
        <f t="shared" si="7"/>
        <v>10.700000000000003</v>
      </c>
    </row>
    <row r="24" spans="1:33" ht="17.25" customHeight="1" x14ac:dyDescent="0.25">
      <c r="A24" s="5">
        <f t="shared" si="0"/>
        <v>-11.769999999999996</v>
      </c>
      <c r="B24" s="5" t="str">
        <f t="shared" si="1"/>
        <v>D</v>
      </c>
      <c r="C24" s="5">
        <f t="shared" si="2"/>
        <v>71.010000000000005</v>
      </c>
      <c r="D24" s="5">
        <f t="shared" si="3"/>
        <v>82.78</v>
      </c>
      <c r="E24" s="4"/>
      <c r="F24" s="58" t="s">
        <v>78</v>
      </c>
      <c r="G24" s="2" t="s">
        <v>77</v>
      </c>
      <c r="H24" s="67">
        <v>71.010000000000005</v>
      </c>
      <c r="I24" s="2" t="s">
        <v>52</v>
      </c>
      <c r="J24" s="74">
        <v>82.78</v>
      </c>
      <c r="K24" s="2" t="s">
        <v>86</v>
      </c>
      <c r="L24" s="58" t="s">
        <v>87</v>
      </c>
      <c r="M24" s="4"/>
      <c r="N24" s="5">
        <f t="shared" si="4"/>
        <v>71.010000000000005</v>
      </c>
      <c r="O24" s="5">
        <f t="shared" si="5"/>
        <v>82.78</v>
      </c>
      <c r="P24" s="5" t="str">
        <f t="shared" si="6"/>
        <v>V</v>
      </c>
      <c r="Q24" s="5">
        <f t="shared" si="7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0"/>
        <v>0</v>
      </c>
      <c r="B27" s="5" t="str">
        <f t="shared" si="1"/>
        <v>E</v>
      </c>
      <c r="C27" s="5">
        <f t="shared" si="2"/>
        <v>0</v>
      </c>
      <c r="D27" s="5">
        <f t="shared" si="3"/>
        <v>0</v>
      </c>
      <c r="E27" s="4"/>
      <c r="F27" s="58" t="s">
        <v>98</v>
      </c>
      <c r="G27" s="2" t="s">
        <v>97</v>
      </c>
      <c r="H27" s="75">
        <v>0</v>
      </c>
      <c r="I27" s="2" t="s">
        <v>52</v>
      </c>
      <c r="J27" s="75">
        <v>0</v>
      </c>
      <c r="K27" s="2" t="s">
        <v>81</v>
      </c>
      <c r="L27" s="58" t="s">
        <v>82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64"/>
    </row>
    <row r="28" spans="1:33" ht="17.25" customHeight="1" x14ac:dyDescent="0.3">
      <c r="A28" s="5">
        <f t="shared" si="0"/>
        <v>-66.81</v>
      </c>
      <c r="B28" s="5" t="str">
        <f t="shared" si="1"/>
        <v>D</v>
      </c>
      <c r="C28" s="5">
        <f t="shared" si="2"/>
        <v>0</v>
      </c>
      <c r="D28" s="5">
        <f t="shared" si="3"/>
        <v>66.81</v>
      </c>
      <c r="E28" s="4"/>
      <c r="F28" s="58" t="s">
        <v>100</v>
      </c>
      <c r="G28" s="2" t="s">
        <v>99</v>
      </c>
      <c r="H28" s="67">
        <v>0</v>
      </c>
      <c r="I28" s="2" t="s">
        <v>52</v>
      </c>
      <c r="J28" s="74">
        <v>66.81</v>
      </c>
      <c r="K28" s="2" t="s">
        <v>95</v>
      </c>
      <c r="L28" s="58" t="s">
        <v>96</v>
      </c>
      <c r="M28" s="4"/>
      <c r="N28" s="5">
        <f t="shared" si="4"/>
        <v>0</v>
      </c>
      <c r="O28" s="5">
        <f t="shared" si="5"/>
        <v>66.81</v>
      </c>
      <c r="P28" s="5" t="str">
        <f t="shared" si="6"/>
        <v>V</v>
      </c>
      <c r="Q28" s="5">
        <f t="shared" si="7"/>
        <v>66.81</v>
      </c>
      <c r="X28" s="65"/>
    </row>
    <row r="29" spans="1:33" ht="17.25" customHeight="1" x14ac:dyDescent="0.3">
      <c r="A29" s="5">
        <f t="shared" si="0"/>
        <v>-12.599999999999994</v>
      </c>
      <c r="B29" s="5" t="str">
        <f t="shared" si="1"/>
        <v>D</v>
      </c>
      <c r="C29" s="5">
        <f t="shared" si="2"/>
        <v>71.61</v>
      </c>
      <c r="D29" s="5">
        <f t="shared" si="3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4">
        <v>84.21</v>
      </c>
      <c r="K29" s="2" t="s">
        <v>60</v>
      </c>
      <c r="L29" s="58" t="s">
        <v>61</v>
      </c>
      <c r="M29" s="4"/>
      <c r="N29" s="5">
        <f t="shared" si="4"/>
        <v>71.61</v>
      </c>
      <c r="O29" s="5">
        <f t="shared" si="5"/>
        <v>84.21</v>
      </c>
      <c r="P29" s="5" t="str">
        <f t="shared" si="6"/>
        <v>V</v>
      </c>
      <c r="Q29" s="5">
        <f t="shared" si="7"/>
        <v>12.599999999999994</v>
      </c>
      <c r="X29" s="64"/>
    </row>
    <row r="30" spans="1:33" ht="17.25" customHeight="1" x14ac:dyDescent="0.3">
      <c r="A30" s="5">
        <f t="shared" si="0"/>
        <v>-58.61</v>
      </c>
      <c r="B30" s="5" t="str">
        <f t="shared" si="1"/>
        <v>D</v>
      </c>
      <c r="C30" s="5">
        <f t="shared" si="2"/>
        <v>0</v>
      </c>
      <c r="D30" s="5">
        <f t="shared" si="3"/>
        <v>58.61</v>
      </c>
      <c r="E30" s="4"/>
      <c r="F30" s="58" t="s">
        <v>73</v>
      </c>
      <c r="G30" s="2" t="s">
        <v>74</v>
      </c>
      <c r="H30" s="67">
        <v>0</v>
      </c>
      <c r="I30" s="2" t="s">
        <v>52</v>
      </c>
      <c r="J30" s="74">
        <v>58.61</v>
      </c>
      <c r="K30" s="2" t="s">
        <v>84</v>
      </c>
      <c r="L30" s="58" t="s">
        <v>85</v>
      </c>
      <c r="M30" s="4"/>
      <c r="N30" s="5">
        <f t="shared" si="4"/>
        <v>0</v>
      </c>
      <c r="O30" s="5">
        <f t="shared" si="5"/>
        <v>58.61</v>
      </c>
      <c r="P30" s="5" t="str">
        <f t="shared" si="6"/>
        <v>V</v>
      </c>
      <c r="Q30" s="5">
        <f t="shared" si="7"/>
        <v>58.61</v>
      </c>
      <c r="X30" s="64"/>
    </row>
    <row r="31" spans="1:33" ht="17.25" customHeight="1" x14ac:dyDescent="0.3">
      <c r="A31" s="5">
        <f t="shared" si="0"/>
        <v>-16.399999999999991</v>
      </c>
      <c r="B31" s="5" t="str">
        <f t="shared" si="1"/>
        <v>D</v>
      </c>
      <c r="C31" s="5">
        <f t="shared" si="2"/>
        <v>83.31</v>
      </c>
      <c r="D31" s="5">
        <f t="shared" si="3"/>
        <v>99.71</v>
      </c>
      <c r="E31" s="4"/>
      <c r="F31" s="58" t="s">
        <v>83</v>
      </c>
      <c r="G31" s="2" t="s">
        <v>68</v>
      </c>
      <c r="H31" s="67">
        <v>83.31</v>
      </c>
      <c r="I31" s="2" t="s">
        <v>52</v>
      </c>
      <c r="J31" s="74">
        <v>99.71</v>
      </c>
      <c r="K31" s="71" t="s">
        <v>88</v>
      </c>
      <c r="L31" s="58" t="s">
        <v>89</v>
      </c>
      <c r="M31" s="4"/>
      <c r="N31" s="5">
        <f t="shared" si="4"/>
        <v>83.31</v>
      </c>
      <c r="O31" s="5">
        <f t="shared" si="5"/>
        <v>99.71</v>
      </c>
      <c r="P31" s="5" t="str">
        <f t="shared" si="6"/>
        <v>V</v>
      </c>
      <c r="Q31" s="5">
        <f t="shared" si="7"/>
        <v>16.399999999999991</v>
      </c>
      <c r="X31" s="64"/>
    </row>
    <row r="32" spans="1:33" ht="17.25" customHeight="1" x14ac:dyDescent="0.3">
      <c r="A32" s="5">
        <f t="shared" si="0"/>
        <v>16.649999999999991</v>
      </c>
      <c r="B32" s="5" t="str">
        <f t="shared" si="1"/>
        <v>V</v>
      </c>
      <c r="C32" s="5">
        <f t="shared" si="2"/>
        <v>94.66</v>
      </c>
      <c r="D32" s="5">
        <f t="shared" si="3"/>
        <v>78.010000000000005</v>
      </c>
      <c r="E32" s="4"/>
      <c r="F32" s="58" t="s">
        <v>66</v>
      </c>
      <c r="G32" s="2" t="s">
        <v>92</v>
      </c>
      <c r="H32" s="74">
        <v>94.66</v>
      </c>
      <c r="I32" s="2" t="s">
        <v>52</v>
      </c>
      <c r="J32" s="67">
        <v>78.010000000000005</v>
      </c>
      <c r="K32" s="2" t="s">
        <v>76</v>
      </c>
      <c r="L32" s="58" t="s">
        <v>75</v>
      </c>
      <c r="M32" s="4"/>
      <c r="N32" s="5">
        <f t="shared" si="4"/>
        <v>94.66</v>
      </c>
      <c r="O32" s="5">
        <f t="shared" si="5"/>
        <v>78.010000000000005</v>
      </c>
      <c r="P32" s="5" t="str">
        <f t="shared" si="6"/>
        <v>D</v>
      </c>
      <c r="Q32" s="5">
        <f t="shared" si="7"/>
        <v>-16.649999999999991</v>
      </c>
      <c r="X32" s="64"/>
    </row>
    <row r="33" spans="1:24" ht="17.25" customHeight="1" x14ac:dyDescent="0.3">
      <c r="A33" s="5">
        <f t="shared" si="0"/>
        <v>2.210000000000008</v>
      </c>
      <c r="B33" s="5" t="str">
        <f t="shared" si="1"/>
        <v>E</v>
      </c>
      <c r="C33" s="5">
        <f t="shared" si="2"/>
        <v>73.81</v>
      </c>
      <c r="D33" s="5">
        <f t="shared" si="3"/>
        <v>71.599999999999994</v>
      </c>
      <c r="E33" s="4"/>
      <c r="F33" s="58" t="s">
        <v>72</v>
      </c>
      <c r="G33" s="2" t="s">
        <v>71</v>
      </c>
      <c r="H33" s="75">
        <v>73.81</v>
      </c>
      <c r="I33" s="2" t="s">
        <v>52</v>
      </c>
      <c r="J33" s="75">
        <v>71.599999999999994</v>
      </c>
      <c r="K33" s="2" t="s">
        <v>90</v>
      </c>
      <c r="L33" s="58" t="s">
        <v>91</v>
      </c>
      <c r="M33" s="4"/>
      <c r="N33" s="5">
        <f t="shared" si="4"/>
        <v>73.81</v>
      </c>
      <c r="O33" s="5">
        <f t="shared" si="5"/>
        <v>71.599999999999994</v>
      </c>
      <c r="P33" s="5" t="str">
        <f t="shared" si="6"/>
        <v>E</v>
      </c>
      <c r="Q33" s="5">
        <f t="shared" si="7"/>
        <v>-2.210000000000008</v>
      </c>
      <c r="X33" s="64"/>
    </row>
    <row r="34" spans="1:24" ht="17.25" customHeight="1" x14ac:dyDescent="0.3">
      <c r="A34" s="5">
        <f t="shared" si="0"/>
        <v>-9.1199999999999974</v>
      </c>
      <c r="B34" s="5" t="str">
        <f t="shared" si="1"/>
        <v>D</v>
      </c>
      <c r="C34" s="5">
        <f t="shared" si="2"/>
        <v>49.74</v>
      </c>
      <c r="D34" s="5">
        <f t="shared" si="3"/>
        <v>58.86</v>
      </c>
      <c r="E34" s="4"/>
      <c r="F34" s="58" t="s">
        <v>80</v>
      </c>
      <c r="G34" s="2" t="s">
        <v>79</v>
      </c>
      <c r="H34" s="67">
        <v>49.74</v>
      </c>
      <c r="I34" s="2" t="s">
        <v>52</v>
      </c>
      <c r="J34" s="74">
        <v>58.86</v>
      </c>
      <c r="K34" s="2" t="s">
        <v>86</v>
      </c>
      <c r="L34" s="58" t="s">
        <v>87</v>
      </c>
      <c r="M34" s="4"/>
      <c r="N34" s="5">
        <f t="shared" si="4"/>
        <v>49.74</v>
      </c>
      <c r="O34" s="5">
        <f t="shared" si="5"/>
        <v>58.86</v>
      </c>
      <c r="P34" s="5" t="str">
        <f t="shared" si="6"/>
        <v>V</v>
      </c>
      <c r="Q34" s="5">
        <f t="shared" si="7"/>
        <v>9.1199999999999974</v>
      </c>
      <c r="X34" s="64"/>
    </row>
    <row r="35" spans="1:24" ht="17.25" customHeight="1" x14ac:dyDescent="0.3">
      <c r="A35" s="5">
        <f t="shared" si="0"/>
        <v>11</v>
      </c>
      <c r="B35" s="5" t="str">
        <f t="shared" si="1"/>
        <v>V</v>
      </c>
      <c r="C35" s="5">
        <f t="shared" si="2"/>
        <v>66.55</v>
      </c>
      <c r="D35" s="5">
        <f t="shared" si="3"/>
        <v>55.55</v>
      </c>
      <c r="E35" s="4"/>
      <c r="F35" s="58" t="s">
        <v>94</v>
      </c>
      <c r="G35" s="2" t="s">
        <v>93</v>
      </c>
      <c r="H35" s="74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4"/>
        <v>66.55</v>
      </c>
      <c r="O35" s="5">
        <f t="shared" si="5"/>
        <v>55.55</v>
      </c>
      <c r="P35" s="5" t="str">
        <f t="shared" si="6"/>
        <v>D</v>
      </c>
      <c r="Q35" s="5">
        <f t="shared" si="7"/>
        <v>-11</v>
      </c>
      <c r="X35" s="64"/>
    </row>
    <row r="36" spans="1:24" ht="17.25" customHeight="1" x14ac:dyDescent="0.3">
      <c r="A36" s="5">
        <f t="shared" si="0"/>
        <v>-1.6599999999999966</v>
      </c>
      <c r="B36" s="5" t="str">
        <f t="shared" si="1"/>
        <v>E</v>
      </c>
      <c r="C36" s="5">
        <f t="shared" si="2"/>
        <v>73.95</v>
      </c>
      <c r="D36" s="5">
        <f t="shared" si="3"/>
        <v>75.61</v>
      </c>
      <c r="E36" s="4"/>
      <c r="F36" s="58" t="s">
        <v>78</v>
      </c>
      <c r="G36" s="2" t="s">
        <v>77</v>
      </c>
      <c r="H36" s="75">
        <v>73.95</v>
      </c>
      <c r="I36" s="2" t="s">
        <v>52</v>
      </c>
      <c r="J36" s="75">
        <v>75.61</v>
      </c>
      <c r="K36" s="2" t="s">
        <v>62</v>
      </c>
      <c r="L36" s="58" t="s">
        <v>63</v>
      </c>
      <c r="M36" s="4"/>
      <c r="N36" s="5">
        <f t="shared" si="4"/>
        <v>73.95</v>
      </c>
      <c r="O36" s="5">
        <f t="shared" si="5"/>
        <v>75.61</v>
      </c>
      <c r="P36" s="5" t="str">
        <f t="shared" si="6"/>
        <v>E</v>
      </c>
      <c r="Q36" s="5">
        <f t="shared" si="7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0"/>
        <v>-4.7599999999999909</v>
      </c>
      <c r="B39" s="5" t="str">
        <f t="shared" si="1"/>
        <v>E</v>
      </c>
      <c r="C39" s="5">
        <f t="shared" si="2"/>
        <v>81.540000000000006</v>
      </c>
      <c r="D39" s="5">
        <f t="shared" si="3"/>
        <v>86.3</v>
      </c>
      <c r="E39" s="4"/>
      <c r="F39" s="58" t="s">
        <v>87</v>
      </c>
      <c r="G39" s="2" t="s">
        <v>86</v>
      </c>
      <c r="H39" s="75">
        <v>81.540000000000006</v>
      </c>
      <c r="I39" s="2" t="s">
        <v>52</v>
      </c>
      <c r="J39" s="75">
        <v>86.3</v>
      </c>
      <c r="K39" s="2" t="s">
        <v>92</v>
      </c>
      <c r="L39" s="58" t="s">
        <v>66</v>
      </c>
      <c r="M39" s="4"/>
      <c r="N39" s="5">
        <f t="shared" si="4"/>
        <v>81.540000000000006</v>
      </c>
      <c r="O39" s="5">
        <f t="shared" si="5"/>
        <v>86.3</v>
      </c>
      <c r="P39" s="5" t="str">
        <f t="shared" si="6"/>
        <v>E</v>
      </c>
      <c r="Q39" s="5">
        <f t="shared" si="7"/>
        <v>4.7599999999999909</v>
      </c>
      <c r="X39" s="64"/>
    </row>
    <row r="40" spans="1:24" ht="17.25" customHeight="1" x14ac:dyDescent="0.3">
      <c r="A40" s="5">
        <f t="shared" si="0"/>
        <v>-30.47</v>
      </c>
      <c r="B40" s="5" t="str">
        <f t="shared" si="1"/>
        <v>D</v>
      </c>
      <c r="C40" s="5">
        <f t="shared" si="2"/>
        <v>41.97</v>
      </c>
      <c r="D40" s="5">
        <f t="shared" si="3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4">
        <v>72.44</v>
      </c>
      <c r="K40" s="2" t="s">
        <v>68</v>
      </c>
      <c r="L40" s="58" t="s">
        <v>83</v>
      </c>
      <c r="M40" s="4"/>
      <c r="N40" s="5">
        <f t="shared" si="4"/>
        <v>41.97</v>
      </c>
      <c r="O40" s="5">
        <f t="shared" si="5"/>
        <v>72.44</v>
      </c>
      <c r="P40" s="5" t="str">
        <f t="shared" si="6"/>
        <v>V</v>
      </c>
      <c r="Q40" s="5">
        <f t="shared" si="7"/>
        <v>30.47</v>
      </c>
      <c r="X40" s="64"/>
    </row>
    <row r="41" spans="1:24" ht="17.25" customHeight="1" x14ac:dyDescent="0.3">
      <c r="A41" s="5">
        <f t="shared" si="0"/>
        <v>17.5</v>
      </c>
      <c r="B41" s="5" t="str">
        <f t="shared" si="1"/>
        <v>V</v>
      </c>
      <c r="C41" s="5">
        <f t="shared" si="2"/>
        <v>87.57</v>
      </c>
      <c r="D41" s="5">
        <f t="shared" si="3"/>
        <v>70.069999999999993</v>
      </c>
      <c r="E41" s="4"/>
      <c r="F41" s="58" t="s">
        <v>96</v>
      </c>
      <c r="G41" s="2" t="s">
        <v>95</v>
      </c>
      <c r="H41" s="74">
        <v>87.57</v>
      </c>
      <c r="I41" s="2" t="s">
        <v>52</v>
      </c>
      <c r="J41" s="67">
        <v>70.069999999999993</v>
      </c>
      <c r="K41" s="2" t="s">
        <v>71</v>
      </c>
      <c r="L41" s="58" t="s">
        <v>72</v>
      </c>
      <c r="M41" s="4"/>
      <c r="N41" s="5">
        <f t="shared" si="4"/>
        <v>87.57</v>
      </c>
      <c r="O41" s="5">
        <f t="shared" si="5"/>
        <v>70.069999999999993</v>
      </c>
      <c r="P41" s="5" t="str">
        <f t="shared" si="6"/>
        <v>D</v>
      </c>
      <c r="Q41" s="5">
        <f t="shared" si="7"/>
        <v>-17.5</v>
      </c>
      <c r="X41" s="64"/>
    </row>
    <row r="42" spans="1:24" ht="17.25" customHeight="1" x14ac:dyDescent="0.3">
      <c r="A42" s="5">
        <f t="shared" si="0"/>
        <v>22.449999999999996</v>
      </c>
      <c r="B42" s="5" t="str">
        <f t="shared" si="1"/>
        <v>V</v>
      </c>
      <c r="C42" s="5">
        <f t="shared" si="2"/>
        <v>78.099999999999994</v>
      </c>
      <c r="D42" s="5">
        <f t="shared" si="3"/>
        <v>55.65</v>
      </c>
      <c r="E42" s="4"/>
      <c r="F42" s="58" t="s">
        <v>91</v>
      </c>
      <c r="G42" s="2" t="s">
        <v>90</v>
      </c>
      <c r="H42" s="74">
        <v>78.099999999999994</v>
      </c>
      <c r="I42" s="2" t="s">
        <v>52</v>
      </c>
      <c r="J42" s="67">
        <v>55.65</v>
      </c>
      <c r="K42" s="2" t="s">
        <v>97</v>
      </c>
      <c r="L42" s="58" t="s">
        <v>98</v>
      </c>
      <c r="M42" s="4"/>
      <c r="N42" s="5">
        <f t="shared" si="4"/>
        <v>78.099999999999994</v>
      </c>
      <c r="O42" s="5">
        <f t="shared" si="5"/>
        <v>55.65</v>
      </c>
      <c r="P42" s="5" t="str">
        <f t="shared" si="6"/>
        <v>D</v>
      </c>
      <c r="Q42" s="5">
        <f t="shared" si="7"/>
        <v>-22.449999999999996</v>
      </c>
      <c r="X42" s="64"/>
    </row>
    <row r="43" spans="1:24" ht="17.25" customHeight="1" x14ac:dyDescent="0.3">
      <c r="A43" s="5">
        <f t="shared" si="0"/>
        <v>17.169999999999995</v>
      </c>
      <c r="B43" s="5" t="str">
        <f t="shared" si="1"/>
        <v>V</v>
      </c>
      <c r="C43" s="5">
        <f t="shared" si="2"/>
        <v>59.94</v>
      </c>
      <c r="D43" s="5">
        <f t="shared" si="3"/>
        <v>42.77</v>
      </c>
      <c r="E43" s="4"/>
      <c r="F43" s="58" t="s">
        <v>75</v>
      </c>
      <c r="G43" s="2" t="s">
        <v>76</v>
      </c>
      <c r="H43" s="74">
        <v>59.94</v>
      </c>
      <c r="I43" s="2" t="s">
        <v>52</v>
      </c>
      <c r="J43" s="67">
        <v>42.77</v>
      </c>
      <c r="K43" s="2" t="s">
        <v>79</v>
      </c>
      <c r="L43" s="58" t="s">
        <v>80</v>
      </c>
      <c r="M43" s="4"/>
      <c r="N43" s="5">
        <f t="shared" si="4"/>
        <v>59.94</v>
      </c>
      <c r="O43" s="5">
        <f t="shared" si="5"/>
        <v>42.77</v>
      </c>
      <c r="P43" s="5" t="str">
        <f t="shared" si="6"/>
        <v>D</v>
      </c>
      <c r="Q43" s="5">
        <f t="shared" si="7"/>
        <v>-17.169999999999995</v>
      </c>
      <c r="X43" s="65"/>
    </row>
    <row r="44" spans="1:24" ht="17.25" customHeight="1" x14ac:dyDescent="0.3">
      <c r="A44" s="5">
        <f t="shared" si="0"/>
        <v>-24.130000000000003</v>
      </c>
      <c r="B44" s="5" t="str">
        <f t="shared" si="1"/>
        <v>D</v>
      </c>
      <c r="C44" s="5">
        <f t="shared" si="2"/>
        <v>51.02</v>
      </c>
      <c r="D44" s="5">
        <f t="shared" si="3"/>
        <v>75.150000000000006</v>
      </c>
      <c r="E44" s="4"/>
      <c r="F44" s="58" t="s">
        <v>82</v>
      </c>
      <c r="G44" s="2" t="s">
        <v>81</v>
      </c>
      <c r="H44" s="67">
        <v>51.02</v>
      </c>
      <c r="I44" s="2" t="s">
        <v>52</v>
      </c>
      <c r="J44" s="74">
        <v>75.150000000000006</v>
      </c>
      <c r="K44" s="2" t="s">
        <v>77</v>
      </c>
      <c r="L44" s="58" t="s">
        <v>78</v>
      </c>
      <c r="M44" s="4"/>
      <c r="N44" s="5">
        <f t="shared" si="4"/>
        <v>51.02</v>
      </c>
      <c r="O44" s="5">
        <f t="shared" si="5"/>
        <v>75.150000000000006</v>
      </c>
      <c r="P44" s="5" t="str">
        <f t="shared" si="6"/>
        <v>V</v>
      </c>
      <c r="Q44" s="5">
        <f t="shared" si="7"/>
        <v>24.130000000000003</v>
      </c>
      <c r="X44" s="64"/>
    </row>
    <row r="45" spans="1:24" ht="17.25" customHeight="1" x14ac:dyDescent="0.3">
      <c r="A45" s="5">
        <f t="shared" si="0"/>
        <v>77.150000000000006</v>
      </c>
      <c r="B45" s="5" t="str">
        <f t="shared" si="1"/>
        <v>V</v>
      </c>
      <c r="C45" s="5">
        <f t="shared" si="2"/>
        <v>77.150000000000006</v>
      </c>
      <c r="D45" s="5">
        <f t="shared" si="3"/>
        <v>0</v>
      </c>
      <c r="E45" s="4"/>
      <c r="F45" s="58" t="s">
        <v>63</v>
      </c>
      <c r="G45" s="2" t="s">
        <v>62</v>
      </c>
      <c r="H45" s="74">
        <v>77.150000000000006</v>
      </c>
      <c r="I45" s="2" t="s">
        <v>52</v>
      </c>
      <c r="J45" s="67">
        <v>0</v>
      </c>
      <c r="K45" s="2" t="s">
        <v>74</v>
      </c>
      <c r="L45" s="58" t="s">
        <v>73</v>
      </c>
      <c r="M45" s="4"/>
      <c r="N45" s="5">
        <f t="shared" si="4"/>
        <v>77.150000000000006</v>
      </c>
      <c r="O45" s="5">
        <f t="shared" si="5"/>
        <v>0</v>
      </c>
      <c r="P45" s="5" t="str">
        <f t="shared" si="6"/>
        <v>D</v>
      </c>
      <c r="Q45" s="5">
        <f t="shared" si="7"/>
        <v>-77.150000000000006</v>
      </c>
      <c r="X45" s="64"/>
    </row>
    <row r="46" spans="1:24" ht="17.25" customHeight="1" x14ac:dyDescent="0.3">
      <c r="A46" s="5">
        <f t="shared" si="0"/>
        <v>-11.079999999999998</v>
      </c>
      <c r="B46" s="5" t="str">
        <f t="shared" si="1"/>
        <v>D</v>
      </c>
      <c r="C46" s="5">
        <f t="shared" si="2"/>
        <v>67.77</v>
      </c>
      <c r="D46" s="5">
        <f t="shared" si="3"/>
        <v>78.849999999999994</v>
      </c>
      <c r="E46" s="4"/>
      <c r="F46" s="58" t="s">
        <v>85</v>
      </c>
      <c r="G46" s="2" t="s">
        <v>84</v>
      </c>
      <c r="H46" s="67">
        <v>67.77</v>
      </c>
      <c r="I46" s="2" t="s">
        <v>52</v>
      </c>
      <c r="J46" s="74">
        <v>78.849999999999994</v>
      </c>
      <c r="K46" s="2" t="s">
        <v>64</v>
      </c>
      <c r="L46" s="58" t="s">
        <v>65</v>
      </c>
      <c r="M46" s="4"/>
      <c r="N46" s="5">
        <f t="shared" si="4"/>
        <v>67.77</v>
      </c>
      <c r="O46" s="5">
        <f t="shared" si="5"/>
        <v>78.849999999999994</v>
      </c>
      <c r="P46" s="5" t="str">
        <f t="shared" si="6"/>
        <v>V</v>
      </c>
      <c r="Q46" s="5">
        <f t="shared" si="7"/>
        <v>11.079999999999998</v>
      </c>
      <c r="X46" s="64"/>
    </row>
    <row r="47" spans="1:24" ht="17.25" customHeight="1" x14ac:dyDescent="0.25">
      <c r="A47" s="5">
        <f t="shared" si="0"/>
        <v>-5.3299999999999983</v>
      </c>
      <c r="B47" s="5" t="str">
        <f t="shared" si="1"/>
        <v>D</v>
      </c>
      <c r="C47" s="5">
        <f t="shared" si="2"/>
        <v>51.95</v>
      </c>
      <c r="D47" s="5">
        <f t="shared" si="3"/>
        <v>57.28</v>
      </c>
      <c r="E47" s="4"/>
      <c r="F47" s="58" t="s">
        <v>89</v>
      </c>
      <c r="G47" s="71" t="s">
        <v>88</v>
      </c>
      <c r="H47" s="67">
        <v>51.95</v>
      </c>
      <c r="I47" s="2" t="s">
        <v>52</v>
      </c>
      <c r="J47" s="74">
        <v>57.28</v>
      </c>
      <c r="K47" s="2" t="s">
        <v>99</v>
      </c>
      <c r="L47" s="58" t="s">
        <v>100</v>
      </c>
      <c r="M47" s="4"/>
      <c r="N47" s="5">
        <f t="shared" si="4"/>
        <v>51.95</v>
      </c>
      <c r="O47" s="5">
        <f t="shared" si="5"/>
        <v>57.28</v>
      </c>
      <c r="P47" s="5" t="str">
        <f t="shared" si="6"/>
        <v>V</v>
      </c>
      <c r="Q47" s="5">
        <f t="shared" si="7"/>
        <v>5.3299999999999983</v>
      </c>
    </row>
    <row r="48" spans="1:24" ht="17.25" customHeight="1" x14ac:dyDescent="0.25">
      <c r="A48" s="5">
        <f t="shared" si="0"/>
        <v>-15.919999999999995</v>
      </c>
      <c r="B48" s="5" t="str">
        <f t="shared" si="1"/>
        <v>D</v>
      </c>
      <c r="C48" s="5">
        <f t="shared" si="2"/>
        <v>54.15</v>
      </c>
      <c r="D48" s="5">
        <f t="shared" si="3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4">
        <v>70.069999999999993</v>
      </c>
      <c r="K48" s="2" t="s">
        <v>93</v>
      </c>
      <c r="L48" s="58" t="s">
        <v>94</v>
      </c>
      <c r="M48" s="4"/>
      <c r="N48" s="5">
        <f t="shared" si="4"/>
        <v>54.15</v>
      </c>
      <c r="O48" s="5">
        <f t="shared" si="5"/>
        <v>70.069999999999993</v>
      </c>
      <c r="P48" s="5" t="str">
        <f t="shared" si="6"/>
        <v>V</v>
      </c>
      <c r="Q48" s="5">
        <f t="shared" si="7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0"/>
        <v>1.1799999999999926</v>
      </c>
      <c r="B51" s="5" t="str">
        <f t="shared" si="1"/>
        <v>E</v>
      </c>
      <c r="C51" s="5">
        <f t="shared" si="2"/>
        <v>98.58</v>
      </c>
      <c r="D51" s="5">
        <f t="shared" si="3"/>
        <v>97.4</v>
      </c>
      <c r="E51" s="4"/>
      <c r="F51" s="58" t="s">
        <v>87</v>
      </c>
      <c r="G51" s="2" t="s">
        <v>86</v>
      </c>
      <c r="H51" s="75">
        <v>98.58</v>
      </c>
      <c r="I51" s="2" t="s">
        <v>52</v>
      </c>
      <c r="J51" s="75">
        <v>97.4</v>
      </c>
      <c r="K51" s="71" t="s">
        <v>70</v>
      </c>
      <c r="L51" s="58" t="s">
        <v>69</v>
      </c>
      <c r="M51" s="4"/>
      <c r="N51" s="5">
        <f t="shared" si="4"/>
        <v>98.58</v>
      </c>
      <c r="O51" s="5">
        <f t="shared" si="5"/>
        <v>97.4</v>
      </c>
      <c r="P51" s="5" t="str">
        <f t="shared" si="6"/>
        <v>E</v>
      </c>
      <c r="Q51" s="5">
        <f t="shared" si="7"/>
        <v>-1.1799999999999926</v>
      </c>
      <c r="X51" s="41"/>
    </row>
    <row r="52" spans="1:24" ht="17.25" customHeight="1" x14ac:dyDescent="0.25">
      <c r="A52" s="5">
        <f t="shared" si="0"/>
        <v>-63.349999999999994</v>
      </c>
      <c r="B52" s="5" t="str">
        <f t="shared" si="1"/>
        <v>D</v>
      </c>
      <c r="C52" s="5">
        <f t="shared" si="2"/>
        <v>73.72</v>
      </c>
      <c r="D52" s="5">
        <f t="shared" si="3"/>
        <v>137.07</v>
      </c>
      <c r="E52" s="4"/>
      <c r="F52" s="58" t="s">
        <v>100</v>
      </c>
      <c r="G52" s="2" t="s">
        <v>99</v>
      </c>
      <c r="H52" s="67">
        <v>73.72</v>
      </c>
      <c r="I52" s="2" t="s">
        <v>52</v>
      </c>
      <c r="J52" s="74">
        <v>137.07</v>
      </c>
      <c r="K52" s="2" t="s">
        <v>92</v>
      </c>
      <c r="L52" s="58" t="s">
        <v>66</v>
      </c>
      <c r="M52" s="4"/>
      <c r="N52" s="5">
        <f t="shared" si="4"/>
        <v>73.72</v>
      </c>
      <c r="O52" s="5">
        <f t="shared" si="5"/>
        <v>137.07</v>
      </c>
      <c r="P52" s="5" t="str">
        <f t="shared" si="6"/>
        <v>V</v>
      </c>
      <c r="Q52" s="5">
        <f t="shared" si="7"/>
        <v>63.349999999999994</v>
      </c>
      <c r="X52" s="41"/>
    </row>
    <row r="53" spans="1:24" ht="17.25" customHeight="1" x14ac:dyDescent="0.25">
      <c r="A53" s="5">
        <f t="shared" si="0"/>
        <v>13.950000000000003</v>
      </c>
      <c r="B53" s="5" t="str">
        <f t="shared" si="1"/>
        <v>V</v>
      </c>
      <c r="C53" s="5">
        <f t="shared" si="2"/>
        <v>124.87</v>
      </c>
      <c r="D53" s="5">
        <f t="shared" si="3"/>
        <v>110.92</v>
      </c>
      <c r="E53" s="4"/>
      <c r="F53" s="58" t="s">
        <v>65</v>
      </c>
      <c r="G53" s="2" t="s">
        <v>64</v>
      </c>
      <c r="H53" s="74">
        <v>124.87</v>
      </c>
      <c r="I53" s="2" t="s">
        <v>52</v>
      </c>
      <c r="J53" s="67">
        <v>110.92</v>
      </c>
      <c r="K53" s="2" t="s">
        <v>74</v>
      </c>
      <c r="L53" s="58" t="s">
        <v>73</v>
      </c>
      <c r="M53" s="4"/>
      <c r="N53" s="5">
        <f t="shared" si="4"/>
        <v>124.87</v>
      </c>
      <c r="O53" s="5">
        <f t="shared" si="5"/>
        <v>110.92</v>
      </c>
      <c r="P53" s="5" t="str">
        <f t="shared" si="6"/>
        <v>D</v>
      </c>
      <c r="Q53" s="5">
        <f t="shared" si="7"/>
        <v>-13.950000000000003</v>
      </c>
      <c r="X53" s="42"/>
    </row>
    <row r="54" spans="1:24" ht="17.25" customHeight="1" x14ac:dyDescent="0.25">
      <c r="A54" s="5">
        <f t="shared" si="0"/>
        <v>89.24</v>
      </c>
      <c r="B54" s="5" t="str">
        <f t="shared" si="1"/>
        <v>V</v>
      </c>
      <c r="C54" s="5">
        <f t="shared" si="2"/>
        <v>137.6</v>
      </c>
      <c r="D54" s="5">
        <f t="shared" si="3"/>
        <v>48.36</v>
      </c>
      <c r="E54" s="4"/>
      <c r="F54" s="58" t="s">
        <v>91</v>
      </c>
      <c r="G54" s="2" t="s">
        <v>90</v>
      </c>
      <c r="H54" s="74">
        <v>137.6</v>
      </c>
      <c r="I54" s="2" t="s">
        <v>52</v>
      </c>
      <c r="J54" s="67">
        <v>48.36</v>
      </c>
      <c r="K54" s="2" t="s">
        <v>79</v>
      </c>
      <c r="L54" s="58" t="s">
        <v>80</v>
      </c>
      <c r="M54" s="4"/>
      <c r="N54" s="5">
        <f t="shared" si="4"/>
        <v>137.6</v>
      </c>
      <c r="O54" s="5">
        <f t="shared" si="5"/>
        <v>48.36</v>
      </c>
      <c r="P54" s="5" t="str">
        <f t="shared" si="6"/>
        <v>D</v>
      </c>
      <c r="Q54" s="5">
        <f t="shared" si="7"/>
        <v>-89.24</v>
      </c>
      <c r="X54" s="41"/>
    </row>
    <row r="55" spans="1:24" ht="17.25" customHeight="1" x14ac:dyDescent="0.25">
      <c r="A55" s="5">
        <f t="shared" si="0"/>
        <v>-7.3100000000000023</v>
      </c>
      <c r="B55" s="5" t="str">
        <f t="shared" si="1"/>
        <v>D</v>
      </c>
      <c r="C55" s="5">
        <f t="shared" si="2"/>
        <v>102.69</v>
      </c>
      <c r="D55" s="5">
        <f t="shared" si="3"/>
        <v>110</v>
      </c>
      <c r="E55" s="4"/>
      <c r="F55" s="58" t="s">
        <v>75</v>
      </c>
      <c r="G55" s="2" t="s">
        <v>76</v>
      </c>
      <c r="H55" s="67">
        <v>102.69</v>
      </c>
      <c r="I55" s="2" t="s">
        <v>52</v>
      </c>
      <c r="J55" s="74">
        <v>110</v>
      </c>
      <c r="K55" s="2" t="s">
        <v>93</v>
      </c>
      <c r="L55" s="58" t="s">
        <v>94</v>
      </c>
      <c r="M55" s="4"/>
      <c r="N55" s="5">
        <f t="shared" si="4"/>
        <v>102.69</v>
      </c>
      <c r="O55" s="5">
        <f t="shared" si="5"/>
        <v>110</v>
      </c>
      <c r="P55" s="5" t="str">
        <f t="shared" si="6"/>
        <v>V</v>
      </c>
      <c r="Q55" s="5">
        <f t="shared" si="7"/>
        <v>7.3100000000000023</v>
      </c>
      <c r="X55" s="42"/>
    </row>
    <row r="56" spans="1:24" ht="17.25" customHeight="1" x14ac:dyDescent="0.25">
      <c r="A56" s="5">
        <f t="shared" si="0"/>
        <v>-22.649999999999991</v>
      </c>
      <c r="B56" s="5" t="str">
        <f t="shared" si="1"/>
        <v>D</v>
      </c>
      <c r="C56" s="5">
        <f t="shared" si="2"/>
        <v>93.87</v>
      </c>
      <c r="D56" s="5">
        <f t="shared" si="3"/>
        <v>116.52</v>
      </c>
      <c r="E56" s="4"/>
      <c r="F56" s="58" t="s">
        <v>82</v>
      </c>
      <c r="G56" s="2" t="s">
        <v>81</v>
      </c>
      <c r="H56" s="67">
        <v>93.87</v>
      </c>
      <c r="I56" s="2" t="s">
        <v>52</v>
      </c>
      <c r="J56" s="74">
        <v>116.52</v>
      </c>
      <c r="K56" s="2" t="s">
        <v>68</v>
      </c>
      <c r="L56" s="58" t="s">
        <v>83</v>
      </c>
      <c r="M56" s="4"/>
      <c r="N56" s="5">
        <f t="shared" si="4"/>
        <v>93.87</v>
      </c>
      <c r="O56" s="5">
        <f t="shared" si="5"/>
        <v>116.52</v>
      </c>
      <c r="P56" s="5" t="str">
        <f t="shared" si="6"/>
        <v>V</v>
      </c>
      <c r="Q56" s="5">
        <f t="shared" si="7"/>
        <v>22.649999999999991</v>
      </c>
      <c r="X56" s="41"/>
    </row>
    <row r="57" spans="1:24" ht="17.25" customHeight="1" x14ac:dyDescent="0.25">
      <c r="A57" s="5">
        <f t="shared" si="0"/>
        <v>2.2400000000000091</v>
      </c>
      <c r="B57" s="5" t="str">
        <f t="shared" si="1"/>
        <v>E</v>
      </c>
      <c r="C57" s="5">
        <f t="shared" si="2"/>
        <v>97.29</v>
      </c>
      <c r="D57" s="5">
        <f t="shared" si="3"/>
        <v>95.05</v>
      </c>
      <c r="E57" s="4"/>
      <c r="F57" s="58" t="s">
        <v>63</v>
      </c>
      <c r="G57" s="2" t="s">
        <v>62</v>
      </c>
      <c r="H57" s="75">
        <v>97.29</v>
      </c>
      <c r="I57" s="2" t="s">
        <v>52</v>
      </c>
      <c r="J57" s="75">
        <v>95.05</v>
      </c>
      <c r="K57" s="2" t="s">
        <v>95</v>
      </c>
      <c r="L57" s="58" t="s">
        <v>96</v>
      </c>
      <c r="M57" s="4"/>
      <c r="N57" s="5">
        <f t="shared" si="4"/>
        <v>97.29</v>
      </c>
      <c r="O57" s="5">
        <f t="shared" si="5"/>
        <v>95.05</v>
      </c>
      <c r="P57" s="5" t="str">
        <f t="shared" si="6"/>
        <v>E</v>
      </c>
      <c r="Q57" s="5">
        <f t="shared" si="7"/>
        <v>-2.2400000000000091</v>
      </c>
      <c r="X57" s="41"/>
    </row>
    <row r="58" spans="1:24" ht="17.25" customHeight="1" x14ac:dyDescent="0.25">
      <c r="A58" s="5">
        <f t="shared" si="0"/>
        <v>-6.9600000000000009</v>
      </c>
      <c r="B58" s="5" t="str">
        <f t="shared" si="1"/>
        <v>D</v>
      </c>
      <c r="C58" s="5">
        <f t="shared" si="2"/>
        <v>54.63</v>
      </c>
      <c r="D58" s="5">
        <f t="shared" si="3"/>
        <v>61.59</v>
      </c>
      <c r="E58" s="4"/>
      <c r="F58" s="58" t="s">
        <v>85</v>
      </c>
      <c r="G58" s="2" t="s">
        <v>84</v>
      </c>
      <c r="H58" s="67">
        <v>54.63</v>
      </c>
      <c r="I58" s="2" t="s">
        <v>52</v>
      </c>
      <c r="J58" s="74">
        <v>61.59</v>
      </c>
      <c r="K58" s="2" t="s">
        <v>97</v>
      </c>
      <c r="L58" s="58" t="s">
        <v>98</v>
      </c>
      <c r="M58" s="4"/>
      <c r="N58" s="5">
        <f t="shared" si="4"/>
        <v>54.63</v>
      </c>
      <c r="O58" s="5">
        <f t="shared" si="5"/>
        <v>61.59</v>
      </c>
      <c r="P58" s="5" t="str">
        <f t="shared" si="6"/>
        <v>V</v>
      </c>
      <c r="Q58" s="5">
        <f t="shared" si="7"/>
        <v>6.9600000000000009</v>
      </c>
      <c r="X58" s="41"/>
    </row>
    <row r="59" spans="1:24" ht="17.25" customHeight="1" x14ac:dyDescent="0.25">
      <c r="A59" s="5">
        <f t="shared" si="0"/>
        <v>5.5499999999999972</v>
      </c>
      <c r="B59" s="5" t="str">
        <f t="shared" si="1"/>
        <v>V</v>
      </c>
      <c r="C59" s="5">
        <f t="shared" si="2"/>
        <v>122.47</v>
      </c>
      <c r="D59" s="5">
        <f t="shared" si="3"/>
        <v>116.92</v>
      </c>
      <c r="E59" s="4"/>
      <c r="F59" s="58" t="s">
        <v>89</v>
      </c>
      <c r="G59" s="71" t="s">
        <v>88</v>
      </c>
      <c r="H59" s="74">
        <v>122.47</v>
      </c>
      <c r="I59" s="2" t="s">
        <v>52</v>
      </c>
      <c r="J59" s="67">
        <v>116.92</v>
      </c>
      <c r="K59" s="2" t="s">
        <v>71</v>
      </c>
      <c r="L59" s="58" t="s">
        <v>72</v>
      </c>
      <c r="M59" s="4"/>
      <c r="N59" s="5">
        <f t="shared" si="4"/>
        <v>122.47</v>
      </c>
      <c r="O59" s="5">
        <f t="shared" si="5"/>
        <v>116.92</v>
      </c>
      <c r="P59" s="5" t="str">
        <f t="shared" si="6"/>
        <v>D</v>
      </c>
      <c r="Q59" s="5">
        <f t="shared" si="7"/>
        <v>-5.5499999999999972</v>
      </c>
      <c r="X59" s="41"/>
    </row>
    <row r="60" spans="1:24" ht="17.25" customHeight="1" x14ac:dyDescent="0.25">
      <c r="A60" s="5">
        <f t="shared" si="0"/>
        <v>8.0800000000000125</v>
      </c>
      <c r="B60" s="5" t="str">
        <f t="shared" si="1"/>
        <v>V</v>
      </c>
      <c r="C60" s="5">
        <f t="shared" si="2"/>
        <v>110.4</v>
      </c>
      <c r="D60" s="5">
        <f t="shared" si="3"/>
        <v>102.32</v>
      </c>
      <c r="E60" s="4"/>
      <c r="F60" s="58" t="s">
        <v>61</v>
      </c>
      <c r="G60" s="2" t="s">
        <v>60</v>
      </c>
      <c r="H60" s="74">
        <v>110.4</v>
      </c>
      <c r="I60" s="2" t="s">
        <v>52</v>
      </c>
      <c r="J60" s="67">
        <v>102.32</v>
      </c>
      <c r="K60" s="2" t="s">
        <v>77</v>
      </c>
      <c r="L60" s="58" t="s">
        <v>78</v>
      </c>
      <c r="M60" s="4"/>
      <c r="N60" s="5">
        <f t="shared" si="4"/>
        <v>110.4</v>
      </c>
      <c r="O60" s="5">
        <f t="shared" si="5"/>
        <v>102.32</v>
      </c>
      <c r="P60" s="5" t="str">
        <f t="shared" si="6"/>
        <v>D</v>
      </c>
      <c r="Q60" s="5">
        <f t="shared" si="7"/>
        <v>-8.0800000000000125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0"/>
        <v>22.28</v>
      </c>
      <c r="B63" s="5" t="str">
        <f t="shared" si="1"/>
        <v>V</v>
      </c>
      <c r="C63" s="5">
        <f t="shared" si="2"/>
        <v>96.58</v>
      </c>
      <c r="D63" s="5">
        <f t="shared" si="3"/>
        <v>74.3</v>
      </c>
      <c r="E63" s="4"/>
      <c r="F63" s="58" t="s">
        <v>98</v>
      </c>
      <c r="G63" s="2" t="s">
        <v>97</v>
      </c>
      <c r="H63" s="74">
        <v>96.58</v>
      </c>
      <c r="I63" s="2" t="s">
        <v>52</v>
      </c>
      <c r="J63" s="67">
        <v>74.3</v>
      </c>
      <c r="K63" s="2" t="s">
        <v>99</v>
      </c>
      <c r="L63" s="58" t="s">
        <v>100</v>
      </c>
      <c r="M63" s="4"/>
      <c r="N63" s="5">
        <f t="shared" si="4"/>
        <v>96.58</v>
      </c>
      <c r="O63" s="5">
        <f t="shared" si="5"/>
        <v>74.3</v>
      </c>
      <c r="P63" s="5" t="str">
        <f t="shared" si="6"/>
        <v>D</v>
      </c>
      <c r="Q63" s="5">
        <f t="shared" si="7"/>
        <v>-22.28</v>
      </c>
      <c r="X63" s="41"/>
    </row>
    <row r="64" spans="1:24" ht="17.25" customHeight="1" x14ac:dyDescent="0.25">
      <c r="A64" s="5">
        <f t="shared" si="0"/>
        <v>-25.65</v>
      </c>
      <c r="B64" s="5" t="str">
        <f t="shared" si="1"/>
        <v>D</v>
      </c>
      <c r="C64" s="5">
        <f t="shared" si="2"/>
        <v>44.35</v>
      </c>
      <c r="D64" s="5">
        <f t="shared" si="3"/>
        <v>70</v>
      </c>
      <c r="E64" s="4"/>
      <c r="F64" s="58" t="s">
        <v>69</v>
      </c>
      <c r="G64" s="71" t="s">
        <v>70</v>
      </c>
      <c r="H64" s="67">
        <v>44.35</v>
      </c>
      <c r="I64" s="2" t="s">
        <v>52</v>
      </c>
      <c r="J64" s="74">
        <v>70</v>
      </c>
      <c r="K64" s="2" t="s">
        <v>81</v>
      </c>
      <c r="L64" s="58" t="s">
        <v>82</v>
      </c>
      <c r="M64" s="4"/>
      <c r="N64" s="5">
        <f t="shared" si="4"/>
        <v>44.35</v>
      </c>
      <c r="O64" s="5">
        <f t="shared" si="5"/>
        <v>70</v>
      </c>
      <c r="P64" s="5" t="str">
        <f t="shared" si="6"/>
        <v>V</v>
      </c>
      <c r="Q64" s="5">
        <f t="shared" si="7"/>
        <v>25.65</v>
      </c>
      <c r="X64" s="41"/>
    </row>
    <row r="65" spans="1:24" ht="17.25" customHeight="1" x14ac:dyDescent="0.25">
      <c r="A65" s="5">
        <f t="shared" si="0"/>
        <v>-6.1800000000000068</v>
      </c>
      <c r="B65" s="5" t="str">
        <f t="shared" si="1"/>
        <v>D</v>
      </c>
      <c r="C65" s="5">
        <f t="shared" si="2"/>
        <v>91</v>
      </c>
      <c r="D65" s="5">
        <f t="shared" si="3"/>
        <v>97.18</v>
      </c>
      <c r="E65" s="4"/>
      <c r="F65" s="58" t="s">
        <v>96</v>
      </c>
      <c r="G65" s="2" t="s">
        <v>95</v>
      </c>
      <c r="H65" s="67">
        <v>91</v>
      </c>
      <c r="I65" s="2" t="s">
        <v>52</v>
      </c>
      <c r="J65" s="74">
        <v>97.18</v>
      </c>
      <c r="K65" s="2" t="s">
        <v>76</v>
      </c>
      <c r="L65" s="58" t="s">
        <v>75</v>
      </c>
      <c r="M65" s="4"/>
      <c r="N65" s="5">
        <f t="shared" si="4"/>
        <v>91</v>
      </c>
      <c r="O65" s="5">
        <f t="shared" si="5"/>
        <v>97.18</v>
      </c>
      <c r="P65" s="5" t="str">
        <f t="shared" si="6"/>
        <v>V</v>
      </c>
      <c r="Q65" s="5">
        <f t="shared" si="7"/>
        <v>6.1800000000000068</v>
      </c>
      <c r="X65" s="42"/>
    </row>
    <row r="66" spans="1:24" ht="17.25" customHeight="1" x14ac:dyDescent="0.25">
      <c r="A66" s="5">
        <f t="shared" si="0"/>
        <v>-4.9999999999997158E-2</v>
      </c>
      <c r="B66" s="5" t="str">
        <f t="shared" si="1"/>
        <v>E</v>
      </c>
      <c r="C66" s="5">
        <f t="shared" si="2"/>
        <v>78.64</v>
      </c>
      <c r="D66" s="5">
        <f t="shared" si="3"/>
        <v>78.69</v>
      </c>
      <c r="E66" s="4"/>
      <c r="F66" s="58" t="s">
        <v>73</v>
      </c>
      <c r="G66" s="2" t="s">
        <v>74</v>
      </c>
      <c r="H66" s="75">
        <v>78.64</v>
      </c>
      <c r="I66" s="2" t="s">
        <v>52</v>
      </c>
      <c r="J66" s="75">
        <v>78.69</v>
      </c>
      <c r="K66" s="2" t="s">
        <v>86</v>
      </c>
      <c r="L66" s="58" t="s">
        <v>87</v>
      </c>
      <c r="M66" s="4"/>
      <c r="N66" s="5">
        <f t="shared" si="4"/>
        <v>78.64</v>
      </c>
      <c r="O66" s="5">
        <f t="shared" si="5"/>
        <v>78.69</v>
      </c>
      <c r="P66" s="5" t="str">
        <f t="shared" si="6"/>
        <v>E</v>
      </c>
      <c r="Q66" s="5">
        <f t="shared" si="7"/>
        <v>4.9999999999997158E-2</v>
      </c>
      <c r="X66" s="41"/>
    </row>
    <row r="67" spans="1:24" ht="17.25" customHeight="1" x14ac:dyDescent="0.25">
      <c r="A67" s="5">
        <f t="shared" si="0"/>
        <v>96.62</v>
      </c>
      <c r="B67" s="5" t="str">
        <f t="shared" si="1"/>
        <v>V</v>
      </c>
      <c r="C67" s="5">
        <f t="shared" si="2"/>
        <v>96.62</v>
      </c>
      <c r="D67" s="5">
        <f t="shared" si="3"/>
        <v>0</v>
      </c>
      <c r="E67" s="4"/>
      <c r="F67" s="58" t="s">
        <v>83</v>
      </c>
      <c r="G67" s="2" t="s">
        <v>68</v>
      </c>
      <c r="H67" s="74">
        <v>96.62</v>
      </c>
      <c r="I67" s="2" t="s">
        <v>52</v>
      </c>
      <c r="J67" s="67">
        <v>0</v>
      </c>
      <c r="K67" s="2" t="s">
        <v>84</v>
      </c>
      <c r="L67" s="58" t="s">
        <v>85</v>
      </c>
      <c r="M67" s="4"/>
      <c r="N67" s="5">
        <f t="shared" si="4"/>
        <v>96.62</v>
      </c>
      <c r="O67" s="5">
        <f t="shared" si="5"/>
        <v>0</v>
      </c>
      <c r="P67" s="5" t="str">
        <f t="shared" si="6"/>
        <v>D</v>
      </c>
      <c r="Q67" s="5">
        <f t="shared" si="7"/>
        <v>-96.62</v>
      </c>
      <c r="X67" s="41"/>
    </row>
    <row r="68" spans="1:24" ht="17.25" customHeight="1" x14ac:dyDescent="0.25">
      <c r="A68" s="5">
        <f t="shared" ref="A68:A131" si="8">C68-D68</f>
        <v>11.540000000000006</v>
      </c>
      <c r="B68" s="5" t="str">
        <f t="shared" ref="B68:B131" si="9">_xlfn.IFS(A68&gt;=5,"V",A68&lt;=-5,"D",A68&lt;=-4.99,"E",A68&lt;=4.99,"E")</f>
        <v>V</v>
      </c>
      <c r="C68" s="5">
        <f t="shared" ref="C68:C131" si="10">H68</f>
        <v>103.93</v>
      </c>
      <c r="D68" s="5">
        <f t="shared" ref="D68:D131" si="11">J68</f>
        <v>92.39</v>
      </c>
      <c r="E68" s="4"/>
      <c r="F68" s="58" t="s">
        <v>66</v>
      </c>
      <c r="G68" s="2" t="s">
        <v>92</v>
      </c>
      <c r="H68" s="74">
        <v>103.93</v>
      </c>
      <c r="I68" s="2" t="s">
        <v>52</v>
      </c>
      <c r="J68" s="67">
        <v>92.39</v>
      </c>
      <c r="K68" s="2" t="s">
        <v>60</v>
      </c>
      <c r="L68" s="58" t="s">
        <v>61</v>
      </c>
      <c r="M68" s="4"/>
      <c r="N68" s="5">
        <f t="shared" ref="N68:N131" si="12">H68</f>
        <v>103.93</v>
      </c>
      <c r="O68" s="5">
        <f t="shared" ref="O68:O131" si="13">J68</f>
        <v>92.39</v>
      </c>
      <c r="P68" s="5" t="str">
        <f t="shared" ref="P68:P131" si="14">_xlfn.IFS(Q68&gt;=5,"V",Q68&lt;=-5,"D",Q68&lt;=-4.99,"E",Q68&lt;=4.99,"E")</f>
        <v>D</v>
      </c>
      <c r="Q68" s="5">
        <f t="shared" ref="Q68:Q131" si="15">J68-H68</f>
        <v>-11.540000000000006</v>
      </c>
      <c r="X68" s="41"/>
    </row>
    <row r="69" spans="1:24" ht="17.25" customHeight="1" x14ac:dyDescent="0.25">
      <c r="A69" s="5">
        <f t="shared" si="8"/>
        <v>-34.22999999999999</v>
      </c>
      <c r="B69" s="5" t="str">
        <f t="shared" si="9"/>
        <v>D</v>
      </c>
      <c r="C69" s="5">
        <f t="shared" si="10"/>
        <v>69.900000000000006</v>
      </c>
      <c r="D69" s="5">
        <f t="shared" si="11"/>
        <v>104.13</v>
      </c>
      <c r="E69" s="4"/>
      <c r="F69" s="58" t="s">
        <v>72</v>
      </c>
      <c r="G69" s="2" t="s">
        <v>71</v>
      </c>
      <c r="H69" s="67">
        <v>69.900000000000006</v>
      </c>
      <c r="I69" s="2" t="s">
        <v>52</v>
      </c>
      <c r="J69" s="74">
        <v>104.13</v>
      </c>
      <c r="K69" s="2" t="s">
        <v>64</v>
      </c>
      <c r="L69" s="58" t="s">
        <v>65</v>
      </c>
      <c r="M69" s="4"/>
      <c r="N69" s="5">
        <f t="shared" si="12"/>
        <v>69.900000000000006</v>
      </c>
      <c r="O69" s="5">
        <f t="shared" si="13"/>
        <v>104.13</v>
      </c>
      <c r="P69" s="5" t="str">
        <f t="shared" si="14"/>
        <v>V</v>
      </c>
      <c r="Q69" s="5">
        <f t="shared" si="15"/>
        <v>34.22999999999999</v>
      </c>
      <c r="X69" s="41"/>
    </row>
    <row r="70" spans="1:24" ht="17.25" customHeight="1" x14ac:dyDescent="0.25">
      <c r="A70" s="5">
        <f t="shared" si="8"/>
        <v>-6.039999999999992</v>
      </c>
      <c r="B70" s="5" t="str">
        <f t="shared" si="9"/>
        <v>D</v>
      </c>
      <c r="C70" s="5">
        <f t="shared" si="10"/>
        <v>83.81</v>
      </c>
      <c r="D70" s="5">
        <f t="shared" si="11"/>
        <v>89.85</v>
      </c>
      <c r="E70" s="4"/>
      <c r="F70" s="58" t="s">
        <v>80</v>
      </c>
      <c r="G70" s="2" t="s">
        <v>79</v>
      </c>
      <c r="H70" s="67">
        <v>83.81</v>
      </c>
      <c r="I70" s="2" t="s">
        <v>52</v>
      </c>
      <c r="J70" s="74">
        <v>89.85</v>
      </c>
      <c r="K70" s="2" t="s">
        <v>62</v>
      </c>
      <c r="L70" s="58" t="s">
        <v>63</v>
      </c>
      <c r="M70" s="4"/>
      <c r="N70" s="5">
        <f t="shared" si="12"/>
        <v>83.81</v>
      </c>
      <c r="O70" s="5">
        <f t="shared" si="13"/>
        <v>89.85</v>
      </c>
      <c r="P70" s="5" t="str">
        <f t="shared" si="14"/>
        <v>V</v>
      </c>
      <c r="Q70" s="5">
        <f t="shared" si="15"/>
        <v>6.039999999999992</v>
      </c>
      <c r="X70" s="42"/>
    </row>
    <row r="71" spans="1:24" ht="17.25" customHeight="1" x14ac:dyDescent="0.25">
      <c r="A71" s="5">
        <f t="shared" si="8"/>
        <v>2.5499999999999972</v>
      </c>
      <c r="B71" s="5" t="str">
        <f t="shared" si="9"/>
        <v>E</v>
      </c>
      <c r="C71" s="5">
        <f t="shared" si="10"/>
        <v>103.75</v>
      </c>
      <c r="D71" s="5">
        <f t="shared" si="11"/>
        <v>101.2</v>
      </c>
      <c r="E71" s="4"/>
      <c r="F71" s="58" t="s">
        <v>94</v>
      </c>
      <c r="G71" s="2" t="s">
        <v>93</v>
      </c>
      <c r="H71" s="75">
        <v>103.75</v>
      </c>
      <c r="I71" s="2" t="s">
        <v>52</v>
      </c>
      <c r="J71" s="75">
        <v>101.2</v>
      </c>
      <c r="K71" s="2" t="s">
        <v>90</v>
      </c>
      <c r="L71" s="58" t="s">
        <v>91</v>
      </c>
      <c r="M71" s="4"/>
      <c r="N71" s="5">
        <f t="shared" si="12"/>
        <v>103.75</v>
      </c>
      <c r="O71" s="5">
        <f t="shared" si="13"/>
        <v>101.2</v>
      </c>
      <c r="P71" s="5" t="str">
        <f t="shared" si="14"/>
        <v>E</v>
      </c>
      <c r="Q71" s="5">
        <f t="shared" si="15"/>
        <v>-2.5499999999999972</v>
      </c>
      <c r="X71" s="41"/>
    </row>
    <row r="72" spans="1:24" ht="17.25" customHeight="1" x14ac:dyDescent="0.25">
      <c r="A72" s="5">
        <f t="shared" si="8"/>
        <v>28.349999999999994</v>
      </c>
      <c r="B72" s="5" t="str">
        <f t="shared" si="9"/>
        <v>V</v>
      </c>
      <c r="C72" s="5">
        <f t="shared" si="10"/>
        <v>112.03</v>
      </c>
      <c r="D72" s="5">
        <f t="shared" si="11"/>
        <v>83.68</v>
      </c>
      <c r="E72" s="4"/>
      <c r="F72" s="58" t="s">
        <v>78</v>
      </c>
      <c r="G72" s="2" t="s">
        <v>77</v>
      </c>
      <c r="H72" s="74">
        <v>112.03</v>
      </c>
      <c r="I72" s="2" t="s">
        <v>52</v>
      </c>
      <c r="J72" s="67">
        <v>83.68</v>
      </c>
      <c r="K72" s="71" t="s">
        <v>88</v>
      </c>
      <c r="L72" s="58" t="s">
        <v>89</v>
      </c>
      <c r="M72" s="4"/>
      <c r="N72" s="5">
        <f t="shared" si="12"/>
        <v>112.03</v>
      </c>
      <c r="O72" s="5">
        <f t="shared" si="13"/>
        <v>83.68</v>
      </c>
      <c r="P72" s="5" t="str">
        <f t="shared" si="14"/>
        <v>D</v>
      </c>
      <c r="Q72" s="5">
        <f t="shared" si="15"/>
        <v>-28.349999999999994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8"/>
        <v>-28.910000000000011</v>
      </c>
      <c r="B75" s="5" t="str">
        <f t="shared" si="9"/>
        <v>D</v>
      </c>
      <c r="C75" s="5">
        <f t="shared" si="10"/>
        <v>67.599999999999994</v>
      </c>
      <c r="D75" s="5">
        <f t="shared" si="11"/>
        <v>96.51</v>
      </c>
      <c r="E75" s="4"/>
      <c r="F75" s="58" t="s">
        <v>98</v>
      </c>
      <c r="G75" s="2" t="s">
        <v>97</v>
      </c>
      <c r="H75" s="67">
        <v>67.599999999999994</v>
      </c>
      <c r="I75" s="2" t="s">
        <v>52</v>
      </c>
      <c r="J75" s="74">
        <v>96.51</v>
      </c>
      <c r="K75" s="2" t="s">
        <v>77</v>
      </c>
      <c r="L75" s="58" t="s">
        <v>78</v>
      </c>
      <c r="M75" s="4"/>
      <c r="N75" s="5">
        <f t="shared" si="12"/>
        <v>67.599999999999994</v>
      </c>
      <c r="O75" s="5">
        <f t="shared" si="13"/>
        <v>96.51</v>
      </c>
      <c r="P75" s="5" t="str">
        <f t="shared" si="14"/>
        <v>V</v>
      </c>
      <c r="Q75" s="5">
        <f t="shared" si="15"/>
        <v>28.910000000000011</v>
      </c>
      <c r="X75" s="41"/>
    </row>
    <row r="76" spans="1:24" ht="17.25" customHeight="1" x14ac:dyDescent="0.25">
      <c r="A76" s="5">
        <f t="shared" si="8"/>
        <v>-63.52</v>
      </c>
      <c r="B76" s="5" t="str">
        <f t="shared" si="9"/>
        <v>D</v>
      </c>
      <c r="C76" s="5">
        <f t="shared" si="10"/>
        <v>0</v>
      </c>
      <c r="D76" s="5">
        <f t="shared" si="11"/>
        <v>63.52</v>
      </c>
      <c r="E76" s="4"/>
      <c r="F76" s="58" t="s">
        <v>69</v>
      </c>
      <c r="G76" s="71" t="s">
        <v>70</v>
      </c>
      <c r="H76" s="67">
        <v>0</v>
      </c>
      <c r="I76" s="2" t="s">
        <v>52</v>
      </c>
      <c r="J76" s="74">
        <v>63.52</v>
      </c>
      <c r="K76" s="2" t="s">
        <v>79</v>
      </c>
      <c r="L76" s="58" t="s">
        <v>80</v>
      </c>
      <c r="M76" s="4"/>
      <c r="N76" s="5">
        <f t="shared" si="12"/>
        <v>0</v>
      </c>
      <c r="O76" s="5">
        <f t="shared" si="13"/>
        <v>63.52</v>
      </c>
      <c r="P76" s="5" t="str">
        <f t="shared" si="14"/>
        <v>V</v>
      </c>
      <c r="Q76" s="5">
        <f t="shared" si="15"/>
        <v>63.52</v>
      </c>
      <c r="X76" s="41"/>
    </row>
    <row r="77" spans="1:24" ht="17.25" customHeight="1" x14ac:dyDescent="0.25">
      <c r="A77" s="5">
        <f t="shared" si="8"/>
        <v>36.339999999999989</v>
      </c>
      <c r="B77" s="5" t="str">
        <f t="shared" si="9"/>
        <v>V</v>
      </c>
      <c r="C77" s="5">
        <f t="shared" si="10"/>
        <v>102.6</v>
      </c>
      <c r="D77" s="5">
        <f t="shared" si="11"/>
        <v>66.260000000000005</v>
      </c>
      <c r="E77" s="4"/>
      <c r="F77" s="58" t="s">
        <v>65</v>
      </c>
      <c r="G77" s="2" t="s">
        <v>64</v>
      </c>
      <c r="H77" s="74">
        <v>102.6</v>
      </c>
      <c r="I77" s="2" t="s">
        <v>52</v>
      </c>
      <c r="J77" s="67">
        <v>66.260000000000005</v>
      </c>
      <c r="K77" s="2" t="s">
        <v>81</v>
      </c>
      <c r="L77" s="58" t="s">
        <v>82</v>
      </c>
      <c r="M77" s="4"/>
      <c r="N77" s="5">
        <f t="shared" si="12"/>
        <v>102.6</v>
      </c>
      <c r="O77" s="5">
        <f t="shared" si="13"/>
        <v>66.260000000000005</v>
      </c>
      <c r="P77" s="5" t="str">
        <f t="shared" si="14"/>
        <v>D</v>
      </c>
      <c r="Q77" s="5">
        <f t="shared" si="15"/>
        <v>-36.339999999999989</v>
      </c>
      <c r="X77" s="41"/>
    </row>
    <row r="78" spans="1:24" ht="17.25" customHeight="1" x14ac:dyDescent="0.25">
      <c r="A78" s="5">
        <f>C78-D78</f>
        <v>33.569999999999993</v>
      </c>
      <c r="B78" s="5" t="str">
        <f t="shared" si="9"/>
        <v>V</v>
      </c>
      <c r="C78" s="5">
        <f t="shared" si="10"/>
        <v>108</v>
      </c>
      <c r="D78" s="5">
        <f t="shared" si="11"/>
        <v>74.430000000000007</v>
      </c>
      <c r="E78" s="4"/>
      <c r="F78" s="58" t="s">
        <v>73</v>
      </c>
      <c r="G78" s="2" t="s">
        <v>74</v>
      </c>
      <c r="H78" s="74">
        <v>108</v>
      </c>
      <c r="I78" s="2" t="s">
        <v>52</v>
      </c>
      <c r="J78" s="67">
        <v>74.430000000000007</v>
      </c>
      <c r="K78" s="2" t="s">
        <v>99</v>
      </c>
      <c r="L78" s="58" t="s">
        <v>100</v>
      </c>
      <c r="M78" s="4"/>
      <c r="N78" s="5">
        <f t="shared" si="12"/>
        <v>108</v>
      </c>
      <c r="O78" s="5">
        <f t="shared" si="13"/>
        <v>74.430000000000007</v>
      </c>
      <c r="P78" s="5" t="str">
        <f t="shared" si="14"/>
        <v>D</v>
      </c>
      <c r="Q78" s="5">
        <f t="shared" si="15"/>
        <v>-33.569999999999993</v>
      </c>
      <c r="X78" s="41"/>
    </row>
    <row r="79" spans="1:24" ht="17.25" customHeight="1" x14ac:dyDescent="0.25">
      <c r="A79" s="5">
        <f t="shared" si="8"/>
        <v>-4.8099999999999881</v>
      </c>
      <c r="B79" s="5" t="str">
        <f t="shared" si="9"/>
        <v>E</v>
      </c>
      <c r="C79" s="5">
        <f t="shared" si="10"/>
        <v>80.400000000000006</v>
      </c>
      <c r="D79" s="5">
        <f t="shared" si="11"/>
        <v>85.21</v>
      </c>
      <c r="E79" s="4"/>
      <c r="F79" s="58" t="s">
        <v>83</v>
      </c>
      <c r="G79" s="2" t="s">
        <v>68</v>
      </c>
      <c r="H79" s="75">
        <v>80.400000000000006</v>
      </c>
      <c r="I79" s="2" t="s">
        <v>52</v>
      </c>
      <c r="J79" s="75">
        <v>85.21</v>
      </c>
      <c r="K79" s="2" t="s">
        <v>95</v>
      </c>
      <c r="L79" s="58" t="s">
        <v>96</v>
      </c>
      <c r="M79" s="4"/>
      <c r="N79" s="5">
        <f t="shared" si="12"/>
        <v>80.400000000000006</v>
      </c>
      <c r="O79" s="5">
        <f t="shared" si="13"/>
        <v>85.21</v>
      </c>
      <c r="P79" s="5" t="str">
        <f t="shared" si="14"/>
        <v>E</v>
      </c>
      <c r="Q79" s="5">
        <f t="shared" si="15"/>
        <v>4.8099999999999881</v>
      </c>
      <c r="X79" s="42"/>
    </row>
    <row r="80" spans="1:24" ht="17.25" customHeight="1" x14ac:dyDescent="0.25">
      <c r="A80" s="5">
        <f t="shared" si="8"/>
        <v>101.8</v>
      </c>
      <c r="B80" s="5" t="str">
        <f t="shared" si="9"/>
        <v>V</v>
      </c>
      <c r="C80" s="5">
        <f t="shared" si="10"/>
        <v>101.8</v>
      </c>
      <c r="D80" s="5">
        <f t="shared" si="11"/>
        <v>0</v>
      </c>
      <c r="E80" s="4"/>
      <c r="F80" s="58" t="s">
        <v>66</v>
      </c>
      <c r="G80" s="2" t="s">
        <v>92</v>
      </c>
      <c r="H80" s="74">
        <v>101.8</v>
      </c>
      <c r="I80" s="2" t="s">
        <v>52</v>
      </c>
      <c r="J80" s="67">
        <v>0</v>
      </c>
      <c r="K80" s="2" t="s">
        <v>62</v>
      </c>
      <c r="L80" s="58" t="s">
        <v>63</v>
      </c>
      <c r="M80" s="4"/>
      <c r="N80" s="5">
        <f t="shared" si="12"/>
        <v>101.8</v>
      </c>
      <c r="O80" s="5">
        <f t="shared" si="13"/>
        <v>0</v>
      </c>
      <c r="P80" s="5" t="str">
        <f t="shared" si="14"/>
        <v>D</v>
      </c>
      <c r="Q80" s="5">
        <f t="shared" si="15"/>
        <v>-101.8</v>
      </c>
      <c r="X80" s="41"/>
    </row>
    <row r="81" spans="1:29" ht="17.25" customHeight="1" x14ac:dyDescent="0.25">
      <c r="A81" s="5">
        <f t="shared" si="8"/>
        <v>5.6400000000000006</v>
      </c>
      <c r="B81" s="5" t="str">
        <f t="shared" si="9"/>
        <v>V</v>
      </c>
      <c r="C81" s="5">
        <f t="shared" si="10"/>
        <v>85.25</v>
      </c>
      <c r="D81" s="5">
        <f t="shared" si="11"/>
        <v>79.61</v>
      </c>
      <c r="E81" s="4"/>
      <c r="F81" s="58" t="s">
        <v>72</v>
      </c>
      <c r="G81" s="2" t="s">
        <v>71</v>
      </c>
      <c r="H81" s="74">
        <v>85.25</v>
      </c>
      <c r="I81" s="2" t="s">
        <v>52</v>
      </c>
      <c r="J81" s="67">
        <v>79.61</v>
      </c>
      <c r="K81" s="2" t="s">
        <v>86</v>
      </c>
      <c r="L81" s="58" t="s">
        <v>87</v>
      </c>
      <c r="M81" s="4"/>
      <c r="N81" s="5">
        <f t="shared" si="12"/>
        <v>85.25</v>
      </c>
      <c r="O81" s="5">
        <f t="shared" si="13"/>
        <v>79.61</v>
      </c>
      <c r="P81" s="5" t="str">
        <f t="shared" si="14"/>
        <v>D</v>
      </c>
      <c r="Q81" s="5">
        <f t="shared" si="15"/>
        <v>-5.6400000000000006</v>
      </c>
      <c r="X81" s="41"/>
    </row>
    <row r="82" spans="1:29" ht="17.25" customHeight="1" x14ac:dyDescent="0.25">
      <c r="A82" s="5">
        <f t="shared" si="8"/>
        <v>-0.29999999999999716</v>
      </c>
      <c r="B82" s="5" t="str">
        <f t="shared" si="9"/>
        <v>E</v>
      </c>
      <c r="C82" s="5">
        <f t="shared" si="10"/>
        <v>80.81</v>
      </c>
      <c r="D82" s="5">
        <f t="shared" si="11"/>
        <v>81.11</v>
      </c>
      <c r="E82" s="4"/>
      <c r="F82" s="58" t="s">
        <v>85</v>
      </c>
      <c r="G82" s="2" t="s">
        <v>84</v>
      </c>
      <c r="H82" s="75">
        <v>80.81</v>
      </c>
      <c r="I82" s="2" t="s">
        <v>52</v>
      </c>
      <c r="J82" s="75">
        <v>81.11</v>
      </c>
      <c r="K82" s="2" t="s">
        <v>90</v>
      </c>
      <c r="L82" s="58" t="s">
        <v>91</v>
      </c>
      <c r="M82" s="4"/>
      <c r="N82" s="5">
        <f t="shared" si="12"/>
        <v>80.81</v>
      </c>
      <c r="O82" s="5">
        <f t="shared" si="13"/>
        <v>81.11</v>
      </c>
      <c r="P82" s="5" t="str">
        <f t="shared" si="14"/>
        <v>E</v>
      </c>
      <c r="Q82" s="5">
        <f t="shared" si="15"/>
        <v>0.29999999999999716</v>
      </c>
      <c r="X82" s="41"/>
    </row>
    <row r="83" spans="1:29" ht="17.25" customHeight="1" x14ac:dyDescent="0.25">
      <c r="A83" s="5">
        <f t="shared" si="8"/>
        <v>0.42000000000000171</v>
      </c>
      <c r="B83" s="5" t="str">
        <f t="shared" si="9"/>
        <v>E</v>
      </c>
      <c r="C83" s="5">
        <f t="shared" si="10"/>
        <v>81.510000000000005</v>
      </c>
      <c r="D83" s="5">
        <f t="shared" si="11"/>
        <v>81.09</v>
      </c>
      <c r="E83" s="4"/>
      <c r="F83" s="58" t="s">
        <v>89</v>
      </c>
      <c r="G83" s="71" t="s">
        <v>88</v>
      </c>
      <c r="H83" s="75">
        <v>81.510000000000005</v>
      </c>
      <c r="I83" s="2" t="s">
        <v>52</v>
      </c>
      <c r="J83" s="75">
        <v>81.09</v>
      </c>
      <c r="K83" s="2" t="s">
        <v>93</v>
      </c>
      <c r="L83" s="58" t="s">
        <v>94</v>
      </c>
      <c r="M83" s="4"/>
      <c r="N83" s="5">
        <f t="shared" si="12"/>
        <v>81.510000000000005</v>
      </c>
      <c r="O83" s="5">
        <f t="shared" si="13"/>
        <v>81.09</v>
      </c>
      <c r="P83" s="5" t="str">
        <f t="shared" si="14"/>
        <v>E</v>
      </c>
      <c r="Q83" s="5">
        <f t="shared" si="15"/>
        <v>-0.42000000000000171</v>
      </c>
      <c r="X83" s="41"/>
    </row>
    <row r="84" spans="1:29" ht="17.25" customHeight="1" x14ac:dyDescent="0.25">
      <c r="A84" s="5">
        <f t="shared" si="8"/>
        <v>-4.75</v>
      </c>
      <c r="B84" s="5" t="str">
        <f t="shared" si="9"/>
        <v>E</v>
      </c>
      <c r="C84" s="5">
        <f t="shared" si="10"/>
        <v>78.25</v>
      </c>
      <c r="D84" s="5">
        <f t="shared" si="11"/>
        <v>83</v>
      </c>
      <c r="E84" s="4"/>
      <c r="F84" s="58" t="s">
        <v>61</v>
      </c>
      <c r="G84" s="2" t="s">
        <v>60</v>
      </c>
      <c r="H84" s="75">
        <v>78.25</v>
      </c>
      <c r="I84" s="2" t="s">
        <v>52</v>
      </c>
      <c r="J84" s="75">
        <v>83</v>
      </c>
      <c r="K84" s="2" t="s">
        <v>76</v>
      </c>
      <c r="L84" s="58" t="s">
        <v>75</v>
      </c>
      <c r="M84" s="4"/>
      <c r="N84" s="5">
        <f t="shared" si="12"/>
        <v>78.25</v>
      </c>
      <c r="O84" s="5">
        <f t="shared" si="13"/>
        <v>83</v>
      </c>
      <c r="P84" s="5" t="str">
        <f t="shared" si="14"/>
        <v>E</v>
      </c>
      <c r="Q84" s="5">
        <f t="shared" si="15"/>
        <v>4.75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8"/>
        <v>-17.940000000000005</v>
      </c>
      <c r="B87" s="5" t="str">
        <f t="shared" si="9"/>
        <v>D</v>
      </c>
      <c r="C87" s="5">
        <f t="shared" si="10"/>
        <v>53.35</v>
      </c>
      <c r="D87" s="5">
        <f t="shared" si="11"/>
        <v>71.290000000000006</v>
      </c>
      <c r="E87" s="4"/>
      <c r="F87" s="58" t="s">
        <v>87</v>
      </c>
      <c r="G87" s="2" t="s">
        <v>86</v>
      </c>
      <c r="H87" s="67">
        <v>53.35</v>
      </c>
      <c r="I87" s="2" t="s">
        <v>52</v>
      </c>
      <c r="J87" s="74">
        <v>71.290000000000006</v>
      </c>
      <c r="K87" s="2" t="s">
        <v>93</v>
      </c>
      <c r="L87" s="58" t="s">
        <v>94</v>
      </c>
      <c r="M87" s="4"/>
      <c r="N87" s="5">
        <f t="shared" si="12"/>
        <v>53.35</v>
      </c>
      <c r="O87" s="5">
        <f t="shared" si="13"/>
        <v>71.290000000000006</v>
      </c>
      <c r="P87" s="5" t="str">
        <f t="shared" si="14"/>
        <v>V</v>
      </c>
      <c r="Q87" s="5">
        <f t="shared" si="15"/>
        <v>17.940000000000005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8"/>
        <v>-69.2</v>
      </c>
      <c r="B88" s="5" t="str">
        <f t="shared" si="9"/>
        <v>D</v>
      </c>
      <c r="C88" s="5">
        <f t="shared" si="10"/>
        <v>0</v>
      </c>
      <c r="D88" s="5">
        <f t="shared" si="11"/>
        <v>69.2</v>
      </c>
      <c r="E88" s="4"/>
      <c r="F88" s="58" t="s">
        <v>100</v>
      </c>
      <c r="G88" s="2" t="s">
        <v>99</v>
      </c>
      <c r="H88" s="67">
        <v>0</v>
      </c>
      <c r="I88" s="2" t="s">
        <v>52</v>
      </c>
      <c r="J88" s="74">
        <v>69.2</v>
      </c>
      <c r="K88" s="2" t="s">
        <v>84</v>
      </c>
      <c r="L88" s="58" t="s">
        <v>85</v>
      </c>
      <c r="M88" s="4"/>
      <c r="N88" s="5">
        <f t="shared" si="12"/>
        <v>0</v>
      </c>
      <c r="O88" s="5">
        <f t="shared" si="13"/>
        <v>69.2</v>
      </c>
      <c r="P88" s="5" t="str">
        <f t="shared" si="14"/>
        <v>V</v>
      </c>
      <c r="Q88" s="5">
        <f t="shared" si="15"/>
        <v>69.2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8"/>
        <v>37.650000000000006</v>
      </c>
      <c r="B89" s="5" t="str">
        <f t="shared" si="9"/>
        <v>V</v>
      </c>
      <c r="C89" s="5">
        <f t="shared" si="10"/>
        <v>83.84</v>
      </c>
      <c r="D89" s="5">
        <f t="shared" si="11"/>
        <v>46.19</v>
      </c>
      <c r="E89" s="4"/>
      <c r="F89" s="58" t="s">
        <v>96</v>
      </c>
      <c r="G89" s="2" t="s">
        <v>95</v>
      </c>
      <c r="H89" s="74">
        <v>83.84</v>
      </c>
      <c r="I89" s="2" t="s">
        <v>52</v>
      </c>
      <c r="J89" s="67">
        <v>46.19</v>
      </c>
      <c r="K89" s="2" t="s">
        <v>97</v>
      </c>
      <c r="L89" s="58" t="s">
        <v>98</v>
      </c>
      <c r="M89" s="4"/>
      <c r="N89" s="5">
        <f t="shared" si="12"/>
        <v>83.84</v>
      </c>
      <c r="O89" s="5">
        <f t="shared" si="13"/>
        <v>46.19</v>
      </c>
      <c r="P89" s="5" t="str">
        <f t="shared" si="14"/>
        <v>D</v>
      </c>
      <c r="Q89" s="5">
        <f t="shared" si="15"/>
        <v>-37.650000000000006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8"/>
        <v>-3.3299999999999983</v>
      </c>
      <c r="B90" s="5" t="str">
        <f t="shared" si="9"/>
        <v>E</v>
      </c>
      <c r="C90" s="5">
        <f t="shared" si="10"/>
        <v>70.91</v>
      </c>
      <c r="D90" s="5">
        <f t="shared" si="11"/>
        <v>74.239999999999995</v>
      </c>
      <c r="E90" s="4"/>
      <c r="F90" s="58" t="s">
        <v>91</v>
      </c>
      <c r="G90" s="2" t="s">
        <v>90</v>
      </c>
      <c r="H90" s="75">
        <v>70.91</v>
      </c>
      <c r="I90" s="2" t="s">
        <v>52</v>
      </c>
      <c r="J90" s="75">
        <v>74.239999999999995</v>
      </c>
      <c r="K90" s="2" t="s">
        <v>64</v>
      </c>
      <c r="L90" s="58" t="s">
        <v>65</v>
      </c>
      <c r="M90" s="4"/>
      <c r="N90" s="5">
        <f t="shared" si="12"/>
        <v>70.91</v>
      </c>
      <c r="O90" s="5">
        <f t="shared" si="13"/>
        <v>74.239999999999995</v>
      </c>
      <c r="P90" s="5" t="str">
        <f t="shared" si="14"/>
        <v>E</v>
      </c>
      <c r="Q90" s="5">
        <f t="shared" si="15"/>
        <v>3.3299999999999983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8"/>
        <v>-0.84999999999999432</v>
      </c>
      <c r="B91" s="5" t="str">
        <f t="shared" si="9"/>
        <v>E</v>
      </c>
      <c r="C91" s="5">
        <f t="shared" si="10"/>
        <v>64.290000000000006</v>
      </c>
      <c r="D91" s="5">
        <f t="shared" si="11"/>
        <v>65.14</v>
      </c>
      <c r="E91" s="4"/>
      <c r="F91" s="58" t="s">
        <v>75</v>
      </c>
      <c r="G91" s="2" t="s">
        <v>76</v>
      </c>
      <c r="H91" s="75">
        <v>64.290000000000006</v>
      </c>
      <c r="I91" s="2" t="s">
        <v>52</v>
      </c>
      <c r="J91" s="75">
        <v>65.14</v>
      </c>
      <c r="K91" s="71" t="s">
        <v>70</v>
      </c>
      <c r="L91" s="58" t="s">
        <v>69</v>
      </c>
      <c r="M91" s="4"/>
      <c r="N91" s="5">
        <f t="shared" si="12"/>
        <v>64.290000000000006</v>
      </c>
      <c r="O91" s="5">
        <f t="shared" si="13"/>
        <v>65.14</v>
      </c>
      <c r="P91" s="5" t="str">
        <f t="shared" si="14"/>
        <v>E</v>
      </c>
      <c r="Q91" s="5">
        <f t="shared" si="15"/>
        <v>0.84999999999999432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8"/>
        <v>10.420000000000002</v>
      </c>
      <c r="B92" s="5" t="str">
        <f t="shared" si="9"/>
        <v>V</v>
      </c>
      <c r="C92" s="5">
        <f t="shared" si="10"/>
        <v>83.42</v>
      </c>
      <c r="D92" s="5">
        <f t="shared" si="11"/>
        <v>73</v>
      </c>
      <c r="E92" s="4"/>
      <c r="F92" s="58" t="s">
        <v>82</v>
      </c>
      <c r="G92" s="2" t="s">
        <v>81</v>
      </c>
      <c r="H92" s="74">
        <v>83.42</v>
      </c>
      <c r="I92" s="2" t="s">
        <v>52</v>
      </c>
      <c r="J92" s="67">
        <v>73</v>
      </c>
      <c r="K92" s="2" t="s">
        <v>71</v>
      </c>
      <c r="L92" s="58" t="s">
        <v>72</v>
      </c>
      <c r="M92" s="4"/>
      <c r="N92" s="5">
        <f t="shared" si="12"/>
        <v>83.42</v>
      </c>
      <c r="O92" s="5">
        <f t="shared" si="13"/>
        <v>73</v>
      </c>
      <c r="P92" s="5" t="str">
        <f t="shared" si="14"/>
        <v>D</v>
      </c>
      <c r="Q92" s="5">
        <f t="shared" si="15"/>
        <v>-10.420000000000002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8"/>
        <v>9.4500000000000028</v>
      </c>
      <c r="B93" s="5" t="str">
        <f t="shared" si="9"/>
        <v>V</v>
      </c>
      <c r="C93" s="5">
        <f t="shared" si="10"/>
        <v>98.04</v>
      </c>
      <c r="D93" s="5">
        <f t="shared" si="11"/>
        <v>88.59</v>
      </c>
      <c r="E93" s="4"/>
      <c r="F93" s="58" t="s">
        <v>63</v>
      </c>
      <c r="G93" s="2" t="s">
        <v>62</v>
      </c>
      <c r="H93" s="74">
        <v>98.04</v>
      </c>
      <c r="I93" s="2" t="s">
        <v>52</v>
      </c>
      <c r="J93" s="67">
        <v>88.59</v>
      </c>
      <c r="K93" s="2" t="s">
        <v>60</v>
      </c>
      <c r="L93" s="58" t="s">
        <v>61</v>
      </c>
      <c r="M93" s="4"/>
      <c r="N93" s="5">
        <f t="shared" si="12"/>
        <v>98.04</v>
      </c>
      <c r="O93" s="5">
        <f t="shared" si="13"/>
        <v>88.59</v>
      </c>
      <c r="P93" s="5" t="str">
        <f t="shared" si="14"/>
        <v>D</v>
      </c>
      <c r="Q93" s="5">
        <f t="shared" si="15"/>
        <v>-9.4500000000000028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8"/>
        <v>-31.400000000000006</v>
      </c>
      <c r="B94" s="5" t="str">
        <f t="shared" si="9"/>
        <v>D</v>
      </c>
      <c r="C94" s="5">
        <f t="shared" si="10"/>
        <v>42.8</v>
      </c>
      <c r="D94" s="5">
        <f t="shared" si="11"/>
        <v>74.2</v>
      </c>
      <c r="E94" s="4"/>
      <c r="F94" s="58" t="s">
        <v>80</v>
      </c>
      <c r="G94" s="2" t="s">
        <v>79</v>
      </c>
      <c r="H94" s="67">
        <v>42.8</v>
      </c>
      <c r="I94" s="2" t="s">
        <v>52</v>
      </c>
      <c r="J94" s="74">
        <v>74.2</v>
      </c>
      <c r="K94" s="2" t="s">
        <v>68</v>
      </c>
      <c r="L94" s="58" t="s">
        <v>83</v>
      </c>
      <c r="M94" s="4"/>
      <c r="N94" s="5">
        <f t="shared" si="12"/>
        <v>42.8</v>
      </c>
      <c r="O94" s="5">
        <f t="shared" si="13"/>
        <v>74.2</v>
      </c>
      <c r="P94" s="5" t="str">
        <f t="shared" si="14"/>
        <v>V</v>
      </c>
      <c r="Q94" s="5">
        <f t="shared" si="15"/>
        <v>31.400000000000006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8"/>
        <v>17.539999999999992</v>
      </c>
      <c r="B95" s="5" t="str">
        <f t="shared" si="9"/>
        <v>V</v>
      </c>
      <c r="C95" s="5">
        <f t="shared" si="10"/>
        <v>83.44</v>
      </c>
      <c r="D95" s="5">
        <f t="shared" si="11"/>
        <v>65.900000000000006</v>
      </c>
      <c r="E95" s="4"/>
      <c r="F95" s="58" t="s">
        <v>89</v>
      </c>
      <c r="G95" s="71" t="s">
        <v>88</v>
      </c>
      <c r="H95" s="74">
        <v>83.44</v>
      </c>
      <c r="I95" s="2" t="s">
        <v>52</v>
      </c>
      <c r="J95" s="67">
        <v>65.900000000000006</v>
      </c>
      <c r="K95" s="2" t="s">
        <v>74</v>
      </c>
      <c r="L95" s="58" t="s">
        <v>73</v>
      </c>
      <c r="M95" s="4"/>
      <c r="N95" s="5">
        <f t="shared" si="12"/>
        <v>83.44</v>
      </c>
      <c r="O95" s="5">
        <f t="shared" si="13"/>
        <v>65.900000000000006</v>
      </c>
      <c r="P95" s="5" t="str">
        <f t="shared" si="14"/>
        <v>D</v>
      </c>
      <c r="Q95" s="5">
        <f t="shared" si="15"/>
        <v>-17.539999999999992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8"/>
        <v>9.9900000000000091</v>
      </c>
      <c r="B96" s="5" t="str">
        <f t="shared" si="9"/>
        <v>V</v>
      </c>
      <c r="C96" s="5">
        <f t="shared" si="10"/>
        <v>75.7</v>
      </c>
      <c r="D96" s="5">
        <f t="shared" si="11"/>
        <v>65.709999999999994</v>
      </c>
      <c r="E96" s="4"/>
      <c r="F96" s="58" t="s">
        <v>78</v>
      </c>
      <c r="G96" s="2" t="s">
        <v>77</v>
      </c>
      <c r="H96" s="74">
        <v>75.7</v>
      </c>
      <c r="I96" s="2" t="s">
        <v>52</v>
      </c>
      <c r="J96" s="67">
        <v>65.709999999999994</v>
      </c>
      <c r="K96" s="2" t="s">
        <v>92</v>
      </c>
      <c r="L96" s="58" t="s">
        <v>66</v>
      </c>
      <c r="M96" s="4"/>
      <c r="N96" s="5">
        <f t="shared" si="12"/>
        <v>75.7</v>
      </c>
      <c r="O96" s="5">
        <f t="shared" si="13"/>
        <v>65.709999999999994</v>
      </c>
      <c r="P96" s="5" t="str">
        <f t="shared" si="14"/>
        <v>D</v>
      </c>
      <c r="Q96" s="5">
        <f t="shared" si="15"/>
        <v>-9.9900000000000091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8"/>
        <v>-0.18999999999999773</v>
      </c>
      <c r="B99" s="5" t="str">
        <f t="shared" si="9"/>
        <v>E</v>
      </c>
      <c r="C99" s="5">
        <f t="shared" si="10"/>
        <v>81.17</v>
      </c>
      <c r="D99" s="5">
        <f t="shared" si="11"/>
        <v>81.36</v>
      </c>
      <c r="E99" s="4"/>
      <c r="F99" s="58" t="s">
        <v>98</v>
      </c>
      <c r="G99" s="2" t="s">
        <v>97</v>
      </c>
      <c r="H99" s="75">
        <v>81.17</v>
      </c>
      <c r="I99" s="2" t="s">
        <v>52</v>
      </c>
      <c r="J99" s="75">
        <v>81.36</v>
      </c>
      <c r="K99" s="2" t="s">
        <v>86</v>
      </c>
      <c r="L99" s="58" t="s">
        <v>87</v>
      </c>
      <c r="M99" s="4"/>
      <c r="N99" s="5">
        <f t="shared" si="12"/>
        <v>81.17</v>
      </c>
      <c r="O99" s="5">
        <f t="shared" si="13"/>
        <v>81.36</v>
      </c>
      <c r="P99" s="5" t="str">
        <f t="shared" si="14"/>
        <v>E</v>
      </c>
      <c r="Q99" s="5">
        <f t="shared" si="15"/>
        <v>0.18999999999999773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8"/>
        <v>-101.47</v>
      </c>
      <c r="B100" s="5" t="str">
        <f t="shared" si="9"/>
        <v>D</v>
      </c>
      <c r="C100" s="5">
        <f t="shared" si="10"/>
        <v>0</v>
      </c>
      <c r="D100" s="5">
        <f t="shared" si="11"/>
        <v>101.47</v>
      </c>
      <c r="E100" s="4"/>
      <c r="F100" s="58" t="s">
        <v>100</v>
      </c>
      <c r="G100" s="2" t="s">
        <v>99</v>
      </c>
      <c r="H100" s="67">
        <v>0</v>
      </c>
      <c r="I100" s="2" t="s">
        <v>52</v>
      </c>
      <c r="J100" s="74">
        <v>101.47</v>
      </c>
      <c r="K100" s="2" t="s">
        <v>77</v>
      </c>
      <c r="L100" s="58" t="s">
        <v>78</v>
      </c>
      <c r="M100" s="4"/>
      <c r="N100" s="5">
        <f t="shared" si="12"/>
        <v>0</v>
      </c>
      <c r="O100" s="5">
        <f t="shared" si="13"/>
        <v>101.47</v>
      </c>
      <c r="P100" s="5" t="str">
        <f t="shared" si="14"/>
        <v>V</v>
      </c>
      <c r="Q100" s="5">
        <f t="shared" si="15"/>
        <v>101.47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8"/>
        <v>11.480000000000004</v>
      </c>
      <c r="B101" s="5" t="str">
        <f t="shared" si="9"/>
        <v>V</v>
      </c>
      <c r="C101" s="5">
        <f t="shared" si="10"/>
        <v>83.75</v>
      </c>
      <c r="D101" s="5">
        <f t="shared" si="11"/>
        <v>72.27</v>
      </c>
      <c r="E101" s="4"/>
      <c r="F101" s="58" t="s">
        <v>96</v>
      </c>
      <c r="G101" s="2" t="s">
        <v>95</v>
      </c>
      <c r="H101" s="74">
        <v>83.75</v>
      </c>
      <c r="I101" s="2" t="s">
        <v>52</v>
      </c>
      <c r="J101" s="67">
        <v>72.27</v>
      </c>
      <c r="K101" s="2" t="s">
        <v>90</v>
      </c>
      <c r="L101" s="58" t="s">
        <v>91</v>
      </c>
      <c r="M101" s="4"/>
      <c r="N101" s="5">
        <f t="shared" si="12"/>
        <v>83.75</v>
      </c>
      <c r="O101" s="5">
        <f t="shared" si="13"/>
        <v>72.27</v>
      </c>
      <c r="P101" s="5" t="str">
        <f t="shared" si="14"/>
        <v>D</v>
      </c>
      <c r="Q101" s="5">
        <f t="shared" si="15"/>
        <v>-11.480000000000004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8"/>
        <v>21.499999999999993</v>
      </c>
      <c r="B102" s="5" t="str">
        <f t="shared" si="9"/>
        <v>V</v>
      </c>
      <c r="C102" s="5">
        <f t="shared" si="10"/>
        <v>84.77</v>
      </c>
      <c r="D102" s="5">
        <f t="shared" si="11"/>
        <v>63.27</v>
      </c>
      <c r="E102" s="4"/>
      <c r="F102" s="58" t="s">
        <v>73</v>
      </c>
      <c r="G102" s="2" t="s">
        <v>74</v>
      </c>
      <c r="H102" s="74">
        <v>84.77</v>
      </c>
      <c r="I102" s="2" t="s">
        <v>52</v>
      </c>
      <c r="J102" s="67">
        <v>63.27</v>
      </c>
      <c r="K102" s="2" t="s">
        <v>68</v>
      </c>
      <c r="L102" s="58" t="s">
        <v>83</v>
      </c>
      <c r="M102" s="4"/>
      <c r="N102" s="5">
        <f t="shared" si="12"/>
        <v>84.77</v>
      </c>
      <c r="O102" s="5">
        <f t="shared" si="13"/>
        <v>63.27</v>
      </c>
      <c r="P102" s="5" t="str">
        <f t="shared" si="14"/>
        <v>D</v>
      </c>
      <c r="Q102" s="5">
        <f t="shared" si="15"/>
        <v>-21.499999999999993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8"/>
        <v>15.75</v>
      </c>
      <c r="B103" s="5" t="str">
        <f t="shared" si="9"/>
        <v>V</v>
      </c>
      <c r="C103" s="5">
        <f t="shared" si="10"/>
        <v>95.02</v>
      </c>
      <c r="D103" s="5">
        <f t="shared" si="11"/>
        <v>79.27</v>
      </c>
      <c r="E103" s="4"/>
      <c r="F103" s="58" t="s">
        <v>75</v>
      </c>
      <c r="G103" s="2" t="s">
        <v>76</v>
      </c>
      <c r="H103" s="74">
        <v>95.02</v>
      </c>
      <c r="I103" s="2" t="s">
        <v>52</v>
      </c>
      <c r="J103" s="67">
        <v>79.27</v>
      </c>
      <c r="K103" s="2" t="s">
        <v>64</v>
      </c>
      <c r="L103" s="58" t="s">
        <v>65</v>
      </c>
      <c r="M103" s="4"/>
      <c r="N103" s="5">
        <f t="shared" si="12"/>
        <v>95.02</v>
      </c>
      <c r="O103" s="5">
        <f t="shared" si="13"/>
        <v>79.27</v>
      </c>
      <c r="P103" s="5" t="str">
        <f t="shared" si="14"/>
        <v>D</v>
      </c>
      <c r="Q103" s="5">
        <f t="shared" si="15"/>
        <v>-15.75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8"/>
        <v>-32.200000000000003</v>
      </c>
      <c r="B104" s="5" t="str">
        <f t="shared" si="9"/>
        <v>D</v>
      </c>
      <c r="C104" s="5">
        <f t="shared" si="10"/>
        <v>64.569999999999993</v>
      </c>
      <c r="D104" s="5">
        <f t="shared" si="11"/>
        <v>96.77</v>
      </c>
      <c r="E104" s="4"/>
      <c r="F104" s="58" t="s">
        <v>82</v>
      </c>
      <c r="G104" s="2" t="s">
        <v>81</v>
      </c>
      <c r="H104" s="67">
        <v>64.569999999999993</v>
      </c>
      <c r="I104" s="2" t="s">
        <v>52</v>
      </c>
      <c r="J104" s="74">
        <v>96.77</v>
      </c>
      <c r="K104" s="71" t="s">
        <v>88</v>
      </c>
      <c r="L104" s="58" t="s">
        <v>89</v>
      </c>
      <c r="M104" s="4"/>
      <c r="N104" s="5">
        <f t="shared" si="12"/>
        <v>64.569999999999993</v>
      </c>
      <c r="O104" s="5">
        <f t="shared" si="13"/>
        <v>96.77</v>
      </c>
      <c r="P104" s="5" t="str">
        <f t="shared" si="14"/>
        <v>V</v>
      </c>
      <c r="Q104" s="5">
        <f t="shared" si="15"/>
        <v>32.200000000000003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8"/>
        <v>-13.86</v>
      </c>
      <c r="B105" s="5" t="str">
        <f t="shared" si="9"/>
        <v>D</v>
      </c>
      <c r="C105" s="5">
        <f t="shared" si="10"/>
        <v>81.81</v>
      </c>
      <c r="D105" s="5">
        <f t="shared" si="11"/>
        <v>95.67</v>
      </c>
      <c r="E105" s="4"/>
      <c r="F105" s="58" t="s">
        <v>72</v>
      </c>
      <c r="G105" s="2" t="s">
        <v>71</v>
      </c>
      <c r="H105" s="67">
        <v>81.81</v>
      </c>
      <c r="I105" s="2" t="s">
        <v>52</v>
      </c>
      <c r="J105" s="74">
        <v>95.67</v>
      </c>
      <c r="K105" s="2" t="s">
        <v>92</v>
      </c>
      <c r="L105" s="58" t="s">
        <v>66</v>
      </c>
      <c r="M105" s="4"/>
      <c r="N105" s="5">
        <f t="shared" si="12"/>
        <v>81.81</v>
      </c>
      <c r="O105" s="5">
        <f t="shared" si="13"/>
        <v>95.67</v>
      </c>
      <c r="P105" s="5" t="str">
        <f t="shared" si="14"/>
        <v>V</v>
      </c>
      <c r="Q105" s="5">
        <f t="shared" si="15"/>
        <v>13.86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8"/>
        <v>7.4299999999999926</v>
      </c>
      <c r="B106" s="5" t="str">
        <f t="shared" si="9"/>
        <v>V</v>
      </c>
      <c r="C106" s="5">
        <f t="shared" si="10"/>
        <v>80.3</v>
      </c>
      <c r="D106" s="5">
        <f t="shared" si="11"/>
        <v>72.87</v>
      </c>
      <c r="E106" s="4"/>
      <c r="F106" s="58" t="s">
        <v>85</v>
      </c>
      <c r="G106" s="2" t="s">
        <v>84</v>
      </c>
      <c r="H106" s="74">
        <v>80.3</v>
      </c>
      <c r="I106" s="2" t="s">
        <v>52</v>
      </c>
      <c r="J106" s="67">
        <v>72.87</v>
      </c>
      <c r="K106" s="71" t="s">
        <v>70</v>
      </c>
      <c r="L106" s="58" t="s">
        <v>69</v>
      </c>
      <c r="M106" s="4"/>
      <c r="N106" s="5">
        <f t="shared" si="12"/>
        <v>80.3</v>
      </c>
      <c r="O106" s="5">
        <f t="shared" si="13"/>
        <v>72.87</v>
      </c>
      <c r="P106" s="5" t="str">
        <f t="shared" si="14"/>
        <v>D</v>
      </c>
      <c r="Q106" s="5">
        <f t="shared" si="15"/>
        <v>-7.4299999999999926</v>
      </c>
    </row>
    <row r="107" spans="1:26" ht="17.25" customHeight="1" x14ac:dyDescent="0.25">
      <c r="A107" s="5">
        <f t="shared" si="8"/>
        <v>89.97</v>
      </c>
      <c r="B107" s="5" t="str">
        <f t="shared" si="9"/>
        <v>V</v>
      </c>
      <c r="C107" s="5">
        <f t="shared" si="10"/>
        <v>89.97</v>
      </c>
      <c r="D107" s="5">
        <f t="shared" si="11"/>
        <v>0</v>
      </c>
      <c r="E107" s="4"/>
      <c r="F107" s="58" t="s">
        <v>94</v>
      </c>
      <c r="G107" s="2" t="s">
        <v>93</v>
      </c>
      <c r="H107" s="74">
        <v>89.97</v>
      </c>
      <c r="I107" s="2" t="s">
        <v>52</v>
      </c>
      <c r="J107" s="67">
        <v>0</v>
      </c>
      <c r="K107" s="2" t="s">
        <v>62</v>
      </c>
      <c r="L107" s="58" t="s">
        <v>63</v>
      </c>
      <c r="M107" s="4"/>
      <c r="N107" s="5">
        <f t="shared" si="12"/>
        <v>89.97</v>
      </c>
      <c r="O107" s="5">
        <f t="shared" si="13"/>
        <v>0</v>
      </c>
      <c r="P107" s="5" t="str">
        <f t="shared" si="14"/>
        <v>D</v>
      </c>
      <c r="Q107" s="5">
        <f t="shared" si="15"/>
        <v>-89.97</v>
      </c>
    </row>
    <row r="108" spans="1:26" ht="17.25" customHeight="1" x14ac:dyDescent="0.25">
      <c r="A108" s="5">
        <f t="shared" si="8"/>
        <v>81.010000000000005</v>
      </c>
      <c r="B108" s="5" t="str">
        <f t="shared" si="9"/>
        <v>V</v>
      </c>
      <c r="C108" s="5">
        <f t="shared" si="10"/>
        <v>81.010000000000005</v>
      </c>
      <c r="D108" s="5">
        <f t="shared" si="11"/>
        <v>0</v>
      </c>
      <c r="E108" s="4"/>
      <c r="F108" s="58" t="s">
        <v>61</v>
      </c>
      <c r="G108" s="2" t="s">
        <v>60</v>
      </c>
      <c r="H108" s="74">
        <v>81.010000000000005</v>
      </c>
      <c r="I108" s="2" t="s">
        <v>52</v>
      </c>
      <c r="J108" s="67">
        <v>0</v>
      </c>
      <c r="K108" s="2" t="s">
        <v>79</v>
      </c>
      <c r="L108" s="58" t="s">
        <v>80</v>
      </c>
      <c r="M108" s="4"/>
      <c r="N108" s="5">
        <f t="shared" si="12"/>
        <v>81.010000000000005</v>
      </c>
      <c r="O108" s="5">
        <f t="shared" si="13"/>
        <v>0</v>
      </c>
      <c r="P108" s="5" t="str">
        <f t="shared" si="14"/>
        <v>D</v>
      </c>
      <c r="Q108" s="5">
        <f t="shared" si="15"/>
        <v>-81.010000000000005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-81.97</v>
      </c>
      <c r="B111" s="5" t="str">
        <f t="shared" si="9"/>
        <v>D</v>
      </c>
      <c r="C111" s="5">
        <f t="shared" si="10"/>
        <v>0</v>
      </c>
      <c r="D111" s="5">
        <f t="shared" si="11"/>
        <v>81.97</v>
      </c>
      <c r="E111" s="4"/>
      <c r="F111" s="58" t="s">
        <v>98</v>
      </c>
      <c r="G111" s="2" t="s">
        <v>97</v>
      </c>
      <c r="H111" s="67">
        <v>0</v>
      </c>
      <c r="I111" s="2" t="s">
        <v>52</v>
      </c>
      <c r="J111" s="74">
        <v>81.97</v>
      </c>
      <c r="K111" s="2" t="s">
        <v>76</v>
      </c>
      <c r="L111" s="58" t="s">
        <v>75</v>
      </c>
      <c r="M111" s="4"/>
      <c r="N111" s="5">
        <f t="shared" si="12"/>
        <v>0</v>
      </c>
      <c r="O111" s="5">
        <f t="shared" si="13"/>
        <v>81.97</v>
      </c>
      <c r="P111" s="5" t="str">
        <f t="shared" si="14"/>
        <v>V</v>
      </c>
      <c r="Q111" s="5">
        <f t="shared" si="15"/>
        <v>81.97</v>
      </c>
    </row>
    <row r="112" spans="1:26" ht="17.25" customHeight="1" x14ac:dyDescent="0.25">
      <c r="A112" s="5">
        <f t="shared" si="8"/>
        <v>94.44</v>
      </c>
      <c r="B112" s="5" t="str">
        <f t="shared" si="9"/>
        <v>V</v>
      </c>
      <c r="C112" s="5">
        <f t="shared" si="10"/>
        <v>94.44</v>
      </c>
      <c r="D112" s="5">
        <f t="shared" si="11"/>
        <v>0</v>
      </c>
      <c r="E112" s="4"/>
      <c r="F112" s="58" t="s">
        <v>69</v>
      </c>
      <c r="G112" s="71" t="s">
        <v>70</v>
      </c>
      <c r="H112" s="74">
        <v>94.44</v>
      </c>
      <c r="I112" s="2" t="s">
        <v>52</v>
      </c>
      <c r="J112" s="67">
        <v>0</v>
      </c>
      <c r="K112" s="2" t="s">
        <v>99</v>
      </c>
      <c r="L112" s="58" t="s">
        <v>100</v>
      </c>
      <c r="M112" s="4"/>
      <c r="N112" s="5">
        <f t="shared" si="12"/>
        <v>94.44</v>
      </c>
      <c r="O112" s="5">
        <f t="shared" si="13"/>
        <v>0</v>
      </c>
      <c r="P112" s="5" t="str">
        <f t="shared" si="14"/>
        <v>D</v>
      </c>
      <c r="Q112" s="5">
        <f t="shared" si="15"/>
        <v>-94.44</v>
      </c>
    </row>
    <row r="113" spans="1:17" ht="17.25" customHeight="1" x14ac:dyDescent="0.25">
      <c r="A113" s="5">
        <f t="shared" si="8"/>
        <v>6.5099999999999909</v>
      </c>
      <c r="B113" s="5" t="str">
        <f t="shared" si="9"/>
        <v>V</v>
      </c>
      <c r="C113" s="5">
        <f t="shared" si="10"/>
        <v>104.57</v>
      </c>
      <c r="D113" s="5">
        <f t="shared" si="11"/>
        <v>98.06</v>
      </c>
      <c r="E113" s="4"/>
      <c r="F113" s="58" t="s">
        <v>65</v>
      </c>
      <c r="G113" s="2" t="s">
        <v>64</v>
      </c>
      <c r="H113" s="74">
        <v>104.57</v>
      </c>
      <c r="I113" s="2" t="s">
        <v>52</v>
      </c>
      <c r="J113" s="67">
        <v>98.06</v>
      </c>
      <c r="K113" s="2" t="s">
        <v>62</v>
      </c>
      <c r="L113" s="58" t="s">
        <v>63</v>
      </c>
      <c r="M113" s="4"/>
      <c r="N113" s="5">
        <f t="shared" si="12"/>
        <v>104.57</v>
      </c>
      <c r="O113" s="5">
        <f t="shared" si="13"/>
        <v>98.06</v>
      </c>
      <c r="P113" s="5" t="str">
        <f t="shared" si="14"/>
        <v>D</v>
      </c>
      <c r="Q113" s="5">
        <f t="shared" si="15"/>
        <v>-6.5099999999999909</v>
      </c>
    </row>
    <row r="114" spans="1:17" ht="17.25" customHeight="1" x14ac:dyDescent="0.25">
      <c r="A114" s="5">
        <f t="shared" si="8"/>
        <v>-5.019999999999996</v>
      </c>
      <c r="B114" s="5" t="str">
        <f t="shared" si="9"/>
        <v>D</v>
      </c>
      <c r="C114" s="5">
        <f t="shared" si="10"/>
        <v>90.54</v>
      </c>
      <c r="D114" s="5">
        <f t="shared" si="11"/>
        <v>95.56</v>
      </c>
      <c r="E114" s="4"/>
      <c r="F114" s="58" t="s">
        <v>73</v>
      </c>
      <c r="G114" s="2" t="s">
        <v>74</v>
      </c>
      <c r="H114" s="67">
        <v>90.54</v>
      </c>
      <c r="I114" s="2" t="s">
        <v>52</v>
      </c>
      <c r="J114" s="74">
        <v>95.56</v>
      </c>
      <c r="K114" s="2" t="s">
        <v>95</v>
      </c>
      <c r="L114" s="58" t="s">
        <v>96</v>
      </c>
      <c r="M114" s="4"/>
      <c r="N114" s="5">
        <f t="shared" si="12"/>
        <v>90.54</v>
      </c>
      <c r="O114" s="5">
        <f t="shared" si="13"/>
        <v>95.56</v>
      </c>
      <c r="P114" s="5" t="str">
        <f t="shared" si="14"/>
        <v>V</v>
      </c>
      <c r="Q114" s="5">
        <f t="shared" si="15"/>
        <v>5.019999999999996</v>
      </c>
    </row>
    <row r="115" spans="1:17" ht="17.25" customHeight="1" x14ac:dyDescent="0.25">
      <c r="A115" s="5">
        <f t="shared" si="8"/>
        <v>21.099999999999994</v>
      </c>
      <c r="B115" s="5" t="str">
        <f t="shared" si="9"/>
        <v>V</v>
      </c>
      <c r="C115" s="5">
        <f t="shared" si="10"/>
        <v>134.54</v>
      </c>
      <c r="D115" s="5">
        <f t="shared" si="11"/>
        <v>113.44</v>
      </c>
      <c r="E115" s="4"/>
      <c r="F115" s="58" t="s">
        <v>83</v>
      </c>
      <c r="G115" s="2" t="s">
        <v>68</v>
      </c>
      <c r="H115" s="74">
        <v>134.54</v>
      </c>
      <c r="I115" s="2" t="s">
        <v>52</v>
      </c>
      <c r="J115" s="67">
        <v>113.44</v>
      </c>
      <c r="K115" s="2" t="s">
        <v>90</v>
      </c>
      <c r="L115" s="58" t="s">
        <v>91</v>
      </c>
      <c r="M115" s="4"/>
      <c r="N115" s="5">
        <f t="shared" si="12"/>
        <v>134.54</v>
      </c>
      <c r="O115" s="5">
        <f t="shared" si="13"/>
        <v>113.44</v>
      </c>
      <c r="P115" s="5" t="str">
        <f t="shared" si="14"/>
        <v>D</v>
      </c>
      <c r="Q115" s="5">
        <f t="shared" si="15"/>
        <v>-21.099999999999994</v>
      </c>
    </row>
    <row r="116" spans="1:17" ht="17.25" customHeight="1" x14ac:dyDescent="0.25">
      <c r="A116" s="5">
        <f t="shared" si="8"/>
        <v>24.849999999999994</v>
      </c>
      <c r="B116" s="5" t="str">
        <f t="shared" si="9"/>
        <v>V</v>
      </c>
      <c r="C116" s="5">
        <f t="shared" si="10"/>
        <v>121.32</v>
      </c>
      <c r="D116" s="5">
        <f t="shared" si="11"/>
        <v>96.47</v>
      </c>
      <c r="E116" s="4"/>
      <c r="F116" s="58" t="s">
        <v>66</v>
      </c>
      <c r="G116" s="2" t="s">
        <v>92</v>
      </c>
      <c r="H116" s="74">
        <v>121.32</v>
      </c>
      <c r="I116" s="2" t="s">
        <v>52</v>
      </c>
      <c r="J116" s="67">
        <v>96.47</v>
      </c>
      <c r="K116" s="2" t="s">
        <v>93</v>
      </c>
      <c r="L116" s="58" t="s">
        <v>94</v>
      </c>
      <c r="M116" s="4"/>
      <c r="N116" s="5">
        <f t="shared" si="12"/>
        <v>121.32</v>
      </c>
      <c r="O116" s="5">
        <f t="shared" si="13"/>
        <v>96.47</v>
      </c>
      <c r="P116" s="5" t="str">
        <f t="shared" si="14"/>
        <v>D</v>
      </c>
      <c r="Q116" s="5">
        <f t="shared" si="15"/>
        <v>-24.849999999999994</v>
      </c>
    </row>
    <row r="117" spans="1:17" ht="17.25" customHeight="1" x14ac:dyDescent="0.25">
      <c r="A117" s="5">
        <f t="shared" si="8"/>
        <v>25.870000000000005</v>
      </c>
      <c r="B117" s="5" t="str">
        <f t="shared" si="9"/>
        <v>V</v>
      </c>
      <c r="C117" s="5">
        <f t="shared" si="10"/>
        <v>105.14</v>
      </c>
      <c r="D117" s="5">
        <f t="shared" si="11"/>
        <v>79.27</v>
      </c>
      <c r="E117" s="4"/>
      <c r="F117" s="58" t="s">
        <v>72</v>
      </c>
      <c r="G117" s="2" t="s">
        <v>71</v>
      </c>
      <c r="H117" s="74">
        <v>105.14</v>
      </c>
      <c r="I117" s="2" t="s">
        <v>52</v>
      </c>
      <c r="J117" s="67">
        <v>79.27</v>
      </c>
      <c r="K117" s="2" t="s">
        <v>77</v>
      </c>
      <c r="L117" s="58" t="s">
        <v>78</v>
      </c>
      <c r="M117" s="4"/>
      <c r="N117" s="5">
        <f t="shared" si="12"/>
        <v>105.14</v>
      </c>
      <c r="O117" s="5">
        <f t="shared" si="13"/>
        <v>79.27</v>
      </c>
      <c r="P117" s="5" t="str">
        <f t="shared" si="14"/>
        <v>D</v>
      </c>
      <c r="Q117" s="5">
        <f t="shared" si="15"/>
        <v>-25.870000000000005</v>
      </c>
    </row>
    <row r="118" spans="1:17" ht="17.25" customHeight="1" x14ac:dyDescent="0.25">
      <c r="A118" s="5">
        <f t="shared" si="8"/>
        <v>74.62</v>
      </c>
      <c r="B118" s="5" t="str">
        <f t="shared" si="9"/>
        <v>V</v>
      </c>
      <c r="C118" s="5">
        <f t="shared" si="10"/>
        <v>74.62</v>
      </c>
      <c r="D118" s="5">
        <f t="shared" si="11"/>
        <v>0</v>
      </c>
      <c r="E118" s="4"/>
      <c r="F118" s="58" t="s">
        <v>85</v>
      </c>
      <c r="G118" s="2" t="s">
        <v>84</v>
      </c>
      <c r="H118" s="74">
        <v>74.62</v>
      </c>
      <c r="I118" s="2" t="s">
        <v>52</v>
      </c>
      <c r="J118" s="67">
        <v>0</v>
      </c>
      <c r="K118" s="2" t="s">
        <v>79</v>
      </c>
      <c r="L118" s="58" t="s">
        <v>80</v>
      </c>
      <c r="M118" s="4"/>
      <c r="N118" s="5">
        <f t="shared" si="12"/>
        <v>74.62</v>
      </c>
      <c r="O118" s="5">
        <f t="shared" si="13"/>
        <v>0</v>
      </c>
      <c r="P118" s="5" t="str">
        <f t="shared" si="14"/>
        <v>D</v>
      </c>
      <c r="Q118" s="5">
        <f t="shared" si="15"/>
        <v>-74.62</v>
      </c>
    </row>
    <row r="119" spans="1:17" ht="17.25" customHeight="1" x14ac:dyDescent="0.25">
      <c r="A119" s="5">
        <f t="shared" si="8"/>
        <v>-13.819999999999993</v>
      </c>
      <c r="B119" s="5" t="str">
        <f t="shared" si="9"/>
        <v>D</v>
      </c>
      <c r="C119" s="5">
        <f t="shared" si="10"/>
        <v>95.64</v>
      </c>
      <c r="D119" s="5">
        <f t="shared" si="11"/>
        <v>109.46</v>
      </c>
      <c r="E119" s="4"/>
      <c r="F119" s="58" t="s">
        <v>89</v>
      </c>
      <c r="G119" s="71" t="s">
        <v>88</v>
      </c>
      <c r="H119" s="67">
        <v>95.64</v>
      </c>
      <c r="I119" s="2" t="s">
        <v>52</v>
      </c>
      <c r="J119" s="74">
        <v>109.46</v>
      </c>
      <c r="K119" s="2" t="s">
        <v>86</v>
      </c>
      <c r="L119" s="58" t="s">
        <v>87</v>
      </c>
      <c r="M119" s="4"/>
      <c r="N119" s="5">
        <f t="shared" si="12"/>
        <v>95.64</v>
      </c>
      <c r="O119" s="5">
        <f t="shared" si="13"/>
        <v>109.46</v>
      </c>
      <c r="P119" s="5" t="str">
        <f t="shared" si="14"/>
        <v>V</v>
      </c>
      <c r="Q119" s="5">
        <f t="shared" si="15"/>
        <v>13.819999999999993</v>
      </c>
    </row>
    <row r="120" spans="1:17" ht="17.25" customHeight="1" x14ac:dyDescent="0.25">
      <c r="A120" s="5">
        <f t="shared" si="8"/>
        <v>23.199999999999989</v>
      </c>
      <c r="B120" s="5" t="str">
        <f t="shared" si="9"/>
        <v>V</v>
      </c>
      <c r="C120" s="5">
        <f t="shared" si="10"/>
        <v>130.04</v>
      </c>
      <c r="D120" s="5">
        <f t="shared" si="11"/>
        <v>106.84</v>
      </c>
      <c r="E120" s="4"/>
      <c r="F120" s="58" t="s">
        <v>61</v>
      </c>
      <c r="G120" s="2" t="s">
        <v>60</v>
      </c>
      <c r="H120" s="74">
        <v>130.04</v>
      </c>
      <c r="I120" s="2" t="s">
        <v>52</v>
      </c>
      <c r="J120" s="67">
        <v>106.84</v>
      </c>
      <c r="K120" s="2" t="s">
        <v>81</v>
      </c>
      <c r="L120" s="58" t="s">
        <v>82</v>
      </c>
      <c r="M120" s="4"/>
      <c r="N120" s="5">
        <f t="shared" si="12"/>
        <v>130.04</v>
      </c>
      <c r="O120" s="5">
        <f t="shared" si="13"/>
        <v>106.84</v>
      </c>
      <c r="P120" s="5" t="str">
        <f t="shared" si="14"/>
        <v>D</v>
      </c>
      <c r="Q120" s="5">
        <f t="shared" si="15"/>
        <v>-23.199999999999989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-14.150000000000006</v>
      </c>
      <c r="B123" s="5" t="str">
        <f t="shared" si="9"/>
        <v>D</v>
      </c>
      <c r="C123" s="5">
        <f t="shared" si="10"/>
        <v>97.88</v>
      </c>
      <c r="D123" s="5">
        <f t="shared" si="11"/>
        <v>112.03</v>
      </c>
      <c r="E123" s="4"/>
      <c r="F123" s="58" t="s">
        <v>87</v>
      </c>
      <c r="G123" s="2" t="s">
        <v>86</v>
      </c>
      <c r="H123" s="67">
        <v>97.88</v>
      </c>
      <c r="I123" s="2" t="s">
        <v>52</v>
      </c>
      <c r="J123" s="74">
        <v>112.03</v>
      </c>
      <c r="K123" s="2" t="s">
        <v>60</v>
      </c>
      <c r="L123" s="58" t="s">
        <v>61</v>
      </c>
      <c r="M123" s="4"/>
      <c r="N123" s="5">
        <f t="shared" si="12"/>
        <v>97.88</v>
      </c>
      <c r="O123" s="5">
        <f t="shared" si="13"/>
        <v>112.03</v>
      </c>
      <c r="P123" s="5" t="str">
        <f t="shared" si="14"/>
        <v>V</v>
      </c>
      <c r="Q123" s="5">
        <f t="shared" si="15"/>
        <v>14.150000000000006</v>
      </c>
    </row>
    <row r="124" spans="1:17" ht="17.25" customHeight="1" x14ac:dyDescent="0.25">
      <c r="A124" s="5">
        <f t="shared" si="8"/>
        <v>-16.569999999999993</v>
      </c>
      <c r="B124" s="5" t="str">
        <f t="shared" si="9"/>
        <v>D</v>
      </c>
      <c r="C124" s="5">
        <f t="shared" si="10"/>
        <v>84.26</v>
      </c>
      <c r="D124" s="5">
        <f t="shared" si="11"/>
        <v>100.83</v>
      </c>
      <c r="E124" s="4"/>
      <c r="F124" s="58" t="s">
        <v>69</v>
      </c>
      <c r="G124" s="71" t="s">
        <v>70</v>
      </c>
      <c r="H124" s="67">
        <v>84.26</v>
      </c>
      <c r="I124" s="2" t="s">
        <v>52</v>
      </c>
      <c r="J124" s="74">
        <v>100.83</v>
      </c>
      <c r="K124" s="2" t="s">
        <v>74</v>
      </c>
      <c r="L124" s="58" t="s">
        <v>73</v>
      </c>
      <c r="M124" s="4"/>
      <c r="N124" s="5">
        <f t="shared" si="12"/>
        <v>84.26</v>
      </c>
      <c r="O124" s="5">
        <f t="shared" si="13"/>
        <v>100.83</v>
      </c>
      <c r="P124" s="5" t="str">
        <f t="shared" si="14"/>
        <v>V</v>
      </c>
      <c r="Q124" s="5">
        <f t="shared" si="15"/>
        <v>16.569999999999993</v>
      </c>
    </row>
    <row r="125" spans="1:17" ht="17.25" customHeight="1" x14ac:dyDescent="0.25">
      <c r="A125" s="5">
        <f t="shared" si="8"/>
        <v>110.2</v>
      </c>
      <c r="B125" s="5" t="str">
        <f t="shared" si="9"/>
        <v>V</v>
      </c>
      <c r="C125" s="5">
        <f t="shared" si="10"/>
        <v>110.2</v>
      </c>
      <c r="D125" s="5">
        <f t="shared" si="11"/>
        <v>0</v>
      </c>
      <c r="E125" s="4"/>
      <c r="F125" s="58" t="s">
        <v>96</v>
      </c>
      <c r="G125" s="2" t="s">
        <v>95</v>
      </c>
      <c r="H125" s="74">
        <v>110.2</v>
      </c>
      <c r="I125" s="2" t="s">
        <v>52</v>
      </c>
      <c r="J125" s="67">
        <v>0</v>
      </c>
      <c r="K125" s="2" t="s">
        <v>84</v>
      </c>
      <c r="L125" s="58" t="s">
        <v>85</v>
      </c>
      <c r="M125" s="4"/>
      <c r="N125" s="5">
        <f t="shared" si="12"/>
        <v>110.2</v>
      </c>
      <c r="O125" s="5">
        <f t="shared" si="13"/>
        <v>0</v>
      </c>
      <c r="P125" s="5" t="str">
        <f t="shared" si="14"/>
        <v>D</v>
      </c>
      <c r="Q125" s="5">
        <f t="shared" si="15"/>
        <v>-110.2</v>
      </c>
    </row>
    <row r="126" spans="1:17" ht="17.25" customHeight="1" x14ac:dyDescent="0.25">
      <c r="A126" s="5">
        <f t="shared" si="8"/>
        <v>2.7600000000000051</v>
      </c>
      <c r="B126" s="5" t="str">
        <f t="shared" si="9"/>
        <v>E</v>
      </c>
      <c r="C126" s="5">
        <f t="shared" si="10"/>
        <v>108.59</v>
      </c>
      <c r="D126" s="5">
        <f t="shared" si="11"/>
        <v>105.83</v>
      </c>
      <c r="E126" s="4"/>
      <c r="F126" s="58" t="s">
        <v>91</v>
      </c>
      <c r="G126" s="2" t="s">
        <v>90</v>
      </c>
      <c r="H126" s="75">
        <v>108.59</v>
      </c>
      <c r="I126" s="2" t="s">
        <v>52</v>
      </c>
      <c r="J126" s="75">
        <v>105.83</v>
      </c>
      <c r="K126" s="71" t="s">
        <v>88</v>
      </c>
      <c r="L126" s="58" t="s">
        <v>89</v>
      </c>
      <c r="M126" s="4"/>
      <c r="N126" s="5">
        <f t="shared" si="12"/>
        <v>108.59</v>
      </c>
      <c r="O126" s="5">
        <f t="shared" si="13"/>
        <v>105.83</v>
      </c>
      <c r="P126" s="5" t="str">
        <f t="shared" si="14"/>
        <v>E</v>
      </c>
      <c r="Q126" s="5">
        <f t="shared" si="15"/>
        <v>-2.7600000000000051</v>
      </c>
    </row>
    <row r="127" spans="1:17" ht="17.25" customHeight="1" x14ac:dyDescent="0.25">
      <c r="A127" s="5">
        <f t="shared" si="8"/>
        <v>3.8599999999999994</v>
      </c>
      <c r="B127" s="5" t="str">
        <f t="shared" si="9"/>
        <v>E</v>
      </c>
      <c r="C127" s="5">
        <f t="shared" si="10"/>
        <v>102.03</v>
      </c>
      <c r="D127" s="5">
        <f t="shared" si="11"/>
        <v>98.17</v>
      </c>
      <c r="E127" s="4"/>
      <c r="F127" s="58" t="s">
        <v>75</v>
      </c>
      <c r="G127" s="2" t="s">
        <v>76</v>
      </c>
      <c r="H127" s="75">
        <v>102.03</v>
      </c>
      <c r="I127" s="2" t="s">
        <v>52</v>
      </c>
      <c r="J127" s="75">
        <v>98.17</v>
      </c>
      <c r="K127" s="2" t="s">
        <v>71</v>
      </c>
      <c r="L127" s="58" t="s">
        <v>72</v>
      </c>
      <c r="M127" s="4"/>
      <c r="N127" s="5">
        <f t="shared" si="12"/>
        <v>102.03</v>
      </c>
      <c r="O127" s="5">
        <f t="shared" si="13"/>
        <v>98.17</v>
      </c>
      <c r="P127" s="5" t="str">
        <f t="shared" si="14"/>
        <v>E</v>
      </c>
      <c r="Q127" s="5">
        <f t="shared" si="15"/>
        <v>-3.8599999999999994</v>
      </c>
    </row>
    <row r="128" spans="1:17" ht="17.25" customHeight="1" x14ac:dyDescent="0.25">
      <c r="A128" s="5">
        <f t="shared" si="8"/>
        <v>-1.8599999999999994</v>
      </c>
      <c r="B128" s="5" t="str">
        <f t="shared" si="9"/>
        <v>E</v>
      </c>
      <c r="C128" s="5">
        <f t="shared" si="10"/>
        <v>109.73</v>
      </c>
      <c r="D128" s="5">
        <f t="shared" si="11"/>
        <v>111.59</v>
      </c>
      <c r="E128" s="4"/>
      <c r="F128" s="58" t="s">
        <v>66</v>
      </c>
      <c r="G128" s="2" t="s">
        <v>92</v>
      </c>
      <c r="H128" s="75">
        <v>109.73</v>
      </c>
      <c r="I128" s="2" t="s">
        <v>52</v>
      </c>
      <c r="J128" s="75">
        <v>111.59</v>
      </c>
      <c r="K128" s="2" t="s">
        <v>64</v>
      </c>
      <c r="L128" s="58" t="s">
        <v>65</v>
      </c>
      <c r="M128" s="4"/>
      <c r="N128" s="5">
        <f t="shared" si="12"/>
        <v>109.73</v>
      </c>
      <c r="O128" s="5">
        <f t="shared" si="13"/>
        <v>111.59</v>
      </c>
      <c r="P128" s="5" t="str">
        <f t="shared" si="14"/>
        <v>E</v>
      </c>
      <c r="Q128" s="5">
        <f t="shared" si="15"/>
        <v>1.8599999999999994</v>
      </c>
    </row>
    <row r="129" spans="1:17" ht="17.25" customHeight="1" x14ac:dyDescent="0.25">
      <c r="A129" s="5">
        <f t="shared" si="8"/>
        <v>15.179999999999993</v>
      </c>
      <c r="B129" s="5" t="str">
        <f t="shared" si="9"/>
        <v>V</v>
      </c>
      <c r="C129" s="5">
        <f t="shared" si="10"/>
        <v>102.13</v>
      </c>
      <c r="D129" s="5">
        <f t="shared" si="11"/>
        <v>86.95</v>
      </c>
      <c r="E129" s="4"/>
      <c r="F129" s="58" t="s">
        <v>63</v>
      </c>
      <c r="G129" s="2" t="s">
        <v>62</v>
      </c>
      <c r="H129" s="74">
        <v>102.13</v>
      </c>
      <c r="I129" s="2" t="s">
        <v>52</v>
      </c>
      <c r="J129" s="67">
        <v>86.95</v>
      </c>
      <c r="K129" s="2" t="s">
        <v>97</v>
      </c>
      <c r="L129" s="58" t="s">
        <v>98</v>
      </c>
      <c r="M129" s="4"/>
      <c r="N129" s="5">
        <f t="shared" si="12"/>
        <v>102.13</v>
      </c>
      <c r="O129" s="5">
        <f t="shared" si="13"/>
        <v>86.95</v>
      </c>
      <c r="P129" s="5" t="str">
        <f t="shared" si="14"/>
        <v>D</v>
      </c>
      <c r="Q129" s="5">
        <f t="shared" si="15"/>
        <v>-15.179999999999993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58" t="s">
        <v>80</v>
      </c>
      <c r="G130" s="2" t="s">
        <v>79</v>
      </c>
      <c r="H130" s="75">
        <v>0</v>
      </c>
      <c r="I130" s="2" t="s">
        <v>52</v>
      </c>
      <c r="J130" s="75">
        <v>0</v>
      </c>
      <c r="K130" s="2" t="s">
        <v>99</v>
      </c>
      <c r="L130" s="58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12.099999999999994</v>
      </c>
      <c r="B131" s="5" t="str">
        <f t="shared" si="9"/>
        <v>V</v>
      </c>
      <c r="C131" s="5">
        <f t="shared" si="10"/>
        <v>102.89</v>
      </c>
      <c r="D131" s="5">
        <f t="shared" si="11"/>
        <v>90.79</v>
      </c>
      <c r="E131" s="4"/>
      <c r="F131" s="58" t="s">
        <v>94</v>
      </c>
      <c r="G131" s="2" t="s">
        <v>93</v>
      </c>
      <c r="H131" s="74">
        <v>102.89</v>
      </c>
      <c r="I131" s="2" t="s">
        <v>52</v>
      </c>
      <c r="J131" s="67">
        <v>90.79</v>
      </c>
      <c r="K131" s="2" t="s">
        <v>81</v>
      </c>
      <c r="L131" s="58" t="s">
        <v>82</v>
      </c>
      <c r="M131" s="4"/>
      <c r="N131" s="5">
        <f t="shared" si="12"/>
        <v>102.89</v>
      </c>
      <c r="O131" s="5">
        <f t="shared" si="13"/>
        <v>90.79</v>
      </c>
      <c r="P131" s="5" t="str">
        <f t="shared" si="14"/>
        <v>D</v>
      </c>
      <c r="Q131" s="5">
        <f t="shared" si="15"/>
        <v>-12.099999999999994</v>
      </c>
    </row>
    <row r="132" spans="1:17" ht="17.25" customHeight="1" x14ac:dyDescent="0.25">
      <c r="A132" s="5">
        <f t="shared" ref="A132:A195" si="16">C132-D132</f>
        <v>9.1499999999999915</v>
      </c>
      <c r="B132" s="5" t="str">
        <f t="shared" ref="B132:B195" si="17">_xlfn.IFS(A132&gt;=5,"V",A132&lt;=-5,"D",A132&lt;=-4.99,"E",A132&lt;=4.99,"E")</f>
        <v>V</v>
      </c>
      <c r="C132" s="5">
        <f t="shared" ref="C132:C195" si="18">H132</f>
        <v>102.08</v>
      </c>
      <c r="D132" s="5">
        <f t="shared" ref="D132:D195" si="19">J132</f>
        <v>92.93</v>
      </c>
      <c r="E132" s="4"/>
      <c r="F132" s="58" t="s">
        <v>78</v>
      </c>
      <c r="G132" s="2" t="s">
        <v>77</v>
      </c>
      <c r="H132" s="74">
        <v>102.08</v>
      </c>
      <c r="I132" s="2" t="s">
        <v>52</v>
      </c>
      <c r="J132" s="67">
        <v>92.93</v>
      </c>
      <c r="K132" s="2" t="s">
        <v>68</v>
      </c>
      <c r="L132" s="58" t="s">
        <v>83</v>
      </c>
      <c r="M132" s="4"/>
      <c r="N132" s="5">
        <f t="shared" ref="N132:N195" si="20">H132</f>
        <v>102.08</v>
      </c>
      <c r="O132" s="5">
        <f t="shared" ref="O132:O195" si="21">J132</f>
        <v>92.93</v>
      </c>
      <c r="P132" s="5" t="str">
        <f t="shared" ref="P132:P195" si="22">_xlfn.IFS(Q132&gt;=5,"V",Q132&lt;=-5,"D",Q132&lt;=-4.99,"E",Q132&lt;=4.99,"E")</f>
        <v>D</v>
      </c>
      <c r="Q132" s="5">
        <f t="shared" ref="Q132:Q195" si="23">J132-H132</f>
        <v>-9.1499999999999915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98.74</v>
      </c>
      <c r="B135" s="5" t="str">
        <f t="shared" si="17"/>
        <v>V</v>
      </c>
      <c r="C135" s="5">
        <f t="shared" si="18"/>
        <v>98.74</v>
      </c>
      <c r="D135" s="5">
        <f t="shared" si="19"/>
        <v>0</v>
      </c>
      <c r="E135" s="4"/>
      <c r="F135" s="58" t="s">
        <v>98</v>
      </c>
      <c r="G135" s="2" t="s">
        <v>97</v>
      </c>
      <c r="H135" s="74">
        <v>98.74</v>
      </c>
      <c r="I135" s="2" t="s">
        <v>52</v>
      </c>
      <c r="J135" s="67">
        <v>0</v>
      </c>
      <c r="K135" s="2" t="s">
        <v>79</v>
      </c>
      <c r="L135" s="58" t="s">
        <v>80</v>
      </c>
      <c r="M135" s="4"/>
      <c r="N135" s="5">
        <f t="shared" si="20"/>
        <v>98.74</v>
      </c>
      <c r="O135" s="5">
        <f t="shared" si="21"/>
        <v>0</v>
      </c>
      <c r="P135" s="5" t="str">
        <f t="shared" si="22"/>
        <v>D</v>
      </c>
      <c r="Q135" s="5">
        <f t="shared" si="23"/>
        <v>-98.74</v>
      </c>
    </row>
    <row r="136" spans="1:17" ht="17.25" customHeight="1" x14ac:dyDescent="0.25">
      <c r="A136" s="5">
        <f t="shared" si="16"/>
        <v>-70.91</v>
      </c>
      <c r="B136" s="5" t="str">
        <f t="shared" si="17"/>
        <v>D</v>
      </c>
      <c r="C136" s="5">
        <f t="shared" si="18"/>
        <v>0</v>
      </c>
      <c r="D136" s="5">
        <f t="shared" si="19"/>
        <v>70.91</v>
      </c>
      <c r="E136" s="4"/>
      <c r="F136" s="58" t="s">
        <v>100</v>
      </c>
      <c r="G136" s="2" t="s">
        <v>99</v>
      </c>
      <c r="H136" s="67">
        <v>0</v>
      </c>
      <c r="I136" s="2" t="s">
        <v>52</v>
      </c>
      <c r="J136" s="74">
        <v>70.91</v>
      </c>
      <c r="K136" s="2" t="s">
        <v>90</v>
      </c>
      <c r="L136" s="58" t="s">
        <v>91</v>
      </c>
      <c r="M136" s="4"/>
      <c r="N136" s="5">
        <f t="shared" si="20"/>
        <v>0</v>
      </c>
      <c r="O136" s="5">
        <f t="shared" si="21"/>
        <v>70.91</v>
      </c>
      <c r="P136" s="5" t="str">
        <f t="shared" si="22"/>
        <v>V</v>
      </c>
      <c r="Q136" s="5">
        <f t="shared" si="23"/>
        <v>70.91</v>
      </c>
    </row>
    <row r="137" spans="1:17" ht="17.25" customHeight="1" x14ac:dyDescent="0.25">
      <c r="A137" s="5">
        <f t="shared" si="16"/>
        <v>3.9500000000000028</v>
      </c>
      <c r="B137" s="5" t="str">
        <f t="shared" si="17"/>
        <v>E</v>
      </c>
      <c r="C137" s="5">
        <f t="shared" si="18"/>
        <v>105.59</v>
      </c>
      <c r="D137" s="5">
        <f t="shared" si="19"/>
        <v>101.64</v>
      </c>
      <c r="E137" s="4"/>
      <c r="F137" s="58" t="s">
        <v>65</v>
      </c>
      <c r="G137" s="2" t="s">
        <v>64</v>
      </c>
      <c r="H137" s="75">
        <v>105.59</v>
      </c>
      <c r="I137" s="2" t="s">
        <v>52</v>
      </c>
      <c r="J137" s="75">
        <v>101.64</v>
      </c>
      <c r="K137" s="2" t="s">
        <v>86</v>
      </c>
      <c r="L137" s="58" t="s">
        <v>87</v>
      </c>
      <c r="M137" s="4"/>
      <c r="N137" s="5">
        <f t="shared" si="20"/>
        <v>105.59</v>
      </c>
      <c r="O137" s="5">
        <f t="shared" si="21"/>
        <v>101.64</v>
      </c>
      <c r="P137" s="5" t="str">
        <f t="shared" si="22"/>
        <v>E</v>
      </c>
      <c r="Q137" s="5">
        <f t="shared" si="23"/>
        <v>-3.9500000000000028</v>
      </c>
    </row>
    <row r="138" spans="1:17" ht="17.25" customHeight="1" x14ac:dyDescent="0.25">
      <c r="A138" s="5">
        <f t="shared" si="16"/>
        <v>-81.69</v>
      </c>
      <c r="B138" s="5" t="str">
        <f t="shared" si="17"/>
        <v>D</v>
      </c>
      <c r="C138" s="5">
        <f t="shared" si="18"/>
        <v>0</v>
      </c>
      <c r="D138" s="5">
        <f t="shared" si="19"/>
        <v>81.69</v>
      </c>
      <c r="E138" s="4"/>
      <c r="F138" s="58" t="s">
        <v>73</v>
      </c>
      <c r="G138" s="2" t="s">
        <v>74</v>
      </c>
      <c r="H138" s="67">
        <v>0</v>
      </c>
      <c r="I138" s="2" t="s">
        <v>52</v>
      </c>
      <c r="J138" s="74">
        <v>81.69</v>
      </c>
      <c r="K138" s="2" t="s">
        <v>93</v>
      </c>
      <c r="L138" s="58" t="s">
        <v>94</v>
      </c>
      <c r="M138" s="4"/>
      <c r="N138" s="5">
        <f t="shared" si="20"/>
        <v>0</v>
      </c>
      <c r="O138" s="5">
        <f t="shared" si="21"/>
        <v>81.69</v>
      </c>
      <c r="P138" s="5" t="str">
        <f t="shared" si="22"/>
        <v>V</v>
      </c>
      <c r="Q138" s="5">
        <f t="shared" si="23"/>
        <v>81.69</v>
      </c>
    </row>
    <row r="139" spans="1:17" ht="17.25" customHeight="1" x14ac:dyDescent="0.25">
      <c r="A139" s="5">
        <f t="shared" si="16"/>
        <v>-14.63000000000001</v>
      </c>
      <c r="B139" s="5" t="str">
        <f t="shared" si="17"/>
        <v>D</v>
      </c>
      <c r="C139" s="5">
        <f t="shared" si="18"/>
        <v>73.959999999999994</v>
      </c>
      <c r="D139" s="5">
        <f t="shared" si="19"/>
        <v>88.59</v>
      </c>
      <c r="E139" s="4"/>
      <c r="F139" s="58" t="s">
        <v>83</v>
      </c>
      <c r="G139" s="2" t="s">
        <v>68</v>
      </c>
      <c r="H139" s="67">
        <v>73.959999999999994</v>
      </c>
      <c r="I139" s="2" t="s">
        <v>52</v>
      </c>
      <c r="J139" s="74">
        <v>88.59</v>
      </c>
      <c r="K139" s="2" t="s">
        <v>92</v>
      </c>
      <c r="L139" s="58" t="s">
        <v>66</v>
      </c>
      <c r="M139" s="4"/>
      <c r="N139" s="5">
        <f t="shared" si="20"/>
        <v>73.959999999999994</v>
      </c>
      <c r="O139" s="5">
        <f t="shared" si="21"/>
        <v>88.59</v>
      </c>
      <c r="P139" s="5" t="str">
        <f t="shared" si="22"/>
        <v>V</v>
      </c>
      <c r="Q139" s="5">
        <f t="shared" si="23"/>
        <v>14.63000000000001</v>
      </c>
    </row>
    <row r="140" spans="1:17" ht="17.25" customHeight="1" x14ac:dyDescent="0.25">
      <c r="A140" s="5">
        <f t="shared" si="16"/>
        <v>-92.79</v>
      </c>
      <c r="B140" s="5" t="str">
        <f t="shared" si="17"/>
        <v>D</v>
      </c>
      <c r="C140" s="5">
        <f t="shared" si="18"/>
        <v>0</v>
      </c>
      <c r="D140" s="5">
        <f t="shared" si="19"/>
        <v>92.79</v>
      </c>
      <c r="E140" s="4"/>
      <c r="F140" s="58" t="s">
        <v>82</v>
      </c>
      <c r="G140" s="2" t="s">
        <v>81</v>
      </c>
      <c r="H140" s="67">
        <v>0</v>
      </c>
      <c r="I140" s="2" t="s">
        <v>52</v>
      </c>
      <c r="J140" s="74">
        <v>92.79</v>
      </c>
      <c r="K140" s="2" t="s">
        <v>95</v>
      </c>
      <c r="L140" s="58" t="s">
        <v>96</v>
      </c>
      <c r="M140" s="4"/>
      <c r="N140" s="5">
        <f t="shared" si="20"/>
        <v>0</v>
      </c>
      <c r="O140" s="5">
        <f t="shared" si="21"/>
        <v>92.79</v>
      </c>
      <c r="P140" s="5" t="str">
        <f t="shared" si="22"/>
        <v>V</v>
      </c>
      <c r="Q140" s="5">
        <f t="shared" si="23"/>
        <v>92.79</v>
      </c>
    </row>
    <row r="141" spans="1:17" ht="17.25" customHeight="1" x14ac:dyDescent="0.25">
      <c r="A141" s="5">
        <f t="shared" si="16"/>
        <v>-33.17</v>
      </c>
      <c r="B141" s="5" t="str">
        <f t="shared" si="17"/>
        <v>D</v>
      </c>
      <c r="C141" s="5">
        <f t="shared" si="18"/>
        <v>74.739999999999995</v>
      </c>
      <c r="D141" s="5">
        <f t="shared" si="19"/>
        <v>107.91</v>
      </c>
      <c r="E141" s="4"/>
      <c r="F141" s="58" t="s">
        <v>63</v>
      </c>
      <c r="G141" s="2" t="s">
        <v>62</v>
      </c>
      <c r="H141" s="67">
        <v>74.739999999999995</v>
      </c>
      <c r="I141" s="2" t="s">
        <v>52</v>
      </c>
      <c r="J141" s="74">
        <v>107.91</v>
      </c>
      <c r="K141" s="2" t="s">
        <v>76</v>
      </c>
      <c r="L141" s="58" t="s">
        <v>75</v>
      </c>
      <c r="M141" s="4"/>
      <c r="N141" s="5">
        <f t="shared" si="20"/>
        <v>74.739999999999995</v>
      </c>
      <c r="O141" s="5">
        <f t="shared" si="21"/>
        <v>107.91</v>
      </c>
      <c r="P141" s="5" t="str">
        <f t="shared" si="22"/>
        <v>V</v>
      </c>
      <c r="Q141" s="5">
        <f t="shared" si="23"/>
        <v>33.17</v>
      </c>
    </row>
    <row r="142" spans="1:17" ht="17.25" customHeight="1" x14ac:dyDescent="0.25">
      <c r="A142" s="5">
        <f t="shared" si="16"/>
        <v>-98.63</v>
      </c>
      <c r="B142" s="5" t="str">
        <f t="shared" si="17"/>
        <v>D</v>
      </c>
      <c r="C142" s="5">
        <f t="shared" si="18"/>
        <v>0</v>
      </c>
      <c r="D142" s="5">
        <f t="shared" si="19"/>
        <v>98.63</v>
      </c>
      <c r="E142" s="4"/>
      <c r="F142" s="58" t="s">
        <v>85</v>
      </c>
      <c r="G142" s="2" t="s">
        <v>84</v>
      </c>
      <c r="H142" s="67">
        <v>0</v>
      </c>
      <c r="I142" s="2" t="s">
        <v>52</v>
      </c>
      <c r="J142" s="74">
        <v>98.63</v>
      </c>
      <c r="K142" s="2" t="s">
        <v>71</v>
      </c>
      <c r="L142" s="58" t="s">
        <v>72</v>
      </c>
      <c r="M142" s="4"/>
      <c r="N142" s="5">
        <f t="shared" si="20"/>
        <v>0</v>
      </c>
      <c r="O142" s="5">
        <f t="shared" si="21"/>
        <v>98.63</v>
      </c>
      <c r="P142" s="5" t="str">
        <f t="shared" si="22"/>
        <v>V</v>
      </c>
      <c r="Q142" s="5">
        <f t="shared" si="23"/>
        <v>98.63</v>
      </c>
    </row>
    <row r="143" spans="1:17" ht="17.25" customHeight="1" x14ac:dyDescent="0.25">
      <c r="A143" s="5">
        <f t="shared" si="16"/>
        <v>-4.019999999999996</v>
      </c>
      <c r="B143" s="5" t="str">
        <f t="shared" si="17"/>
        <v>E</v>
      </c>
      <c r="C143" s="5">
        <f t="shared" si="18"/>
        <v>98.39</v>
      </c>
      <c r="D143" s="5">
        <f t="shared" si="19"/>
        <v>102.41</v>
      </c>
      <c r="E143" s="4"/>
      <c r="F143" s="58" t="s">
        <v>89</v>
      </c>
      <c r="G143" s="71" t="s">
        <v>88</v>
      </c>
      <c r="H143" s="75">
        <v>98.39</v>
      </c>
      <c r="I143" s="2" t="s">
        <v>52</v>
      </c>
      <c r="J143" s="75">
        <v>102.41</v>
      </c>
      <c r="K143" s="2" t="s">
        <v>60</v>
      </c>
      <c r="L143" s="58" t="s">
        <v>61</v>
      </c>
      <c r="M143" s="4"/>
      <c r="N143" s="5">
        <f t="shared" si="20"/>
        <v>98.39</v>
      </c>
      <c r="O143" s="5">
        <f t="shared" si="21"/>
        <v>102.41</v>
      </c>
      <c r="P143" s="5" t="str">
        <f t="shared" si="22"/>
        <v>E</v>
      </c>
      <c r="Q143" s="5">
        <f t="shared" si="23"/>
        <v>4.019999999999996</v>
      </c>
    </row>
    <row r="144" spans="1:17" ht="17.25" customHeight="1" x14ac:dyDescent="0.25">
      <c r="A144" s="5">
        <f t="shared" si="16"/>
        <v>-8.0699999999999932</v>
      </c>
      <c r="B144" s="5" t="str">
        <f t="shared" si="17"/>
        <v>D</v>
      </c>
      <c r="C144" s="5">
        <f t="shared" si="18"/>
        <v>96.09</v>
      </c>
      <c r="D144" s="5">
        <f t="shared" si="19"/>
        <v>104.16</v>
      </c>
      <c r="E144" s="4"/>
      <c r="F144" s="58" t="s">
        <v>78</v>
      </c>
      <c r="G144" s="2" t="s">
        <v>77</v>
      </c>
      <c r="H144" s="67">
        <v>96.09</v>
      </c>
      <c r="I144" s="2" t="s">
        <v>52</v>
      </c>
      <c r="J144" s="74">
        <v>104.16</v>
      </c>
      <c r="K144" s="71" t="s">
        <v>70</v>
      </c>
      <c r="L144" s="58" t="s">
        <v>69</v>
      </c>
      <c r="M144" s="4"/>
      <c r="N144" s="5">
        <f t="shared" si="20"/>
        <v>96.09</v>
      </c>
      <c r="O144" s="5">
        <f t="shared" si="21"/>
        <v>104.16</v>
      </c>
      <c r="P144" s="5" t="str">
        <f t="shared" si="22"/>
        <v>V</v>
      </c>
      <c r="Q144" s="5">
        <f t="shared" si="23"/>
        <v>8.0699999999999932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58" t="s">
        <v>87</v>
      </c>
      <c r="G147" s="2" t="s">
        <v>86</v>
      </c>
      <c r="H147" s="2"/>
      <c r="I147" s="2" t="s">
        <v>52</v>
      </c>
      <c r="J147" s="2"/>
      <c r="K147" s="2" t="s">
        <v>84</v>
      </c>
      <c r="L147" s="58" t="s">
        <v>85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58" t="s">
        <v>69</v>
      </c>
      <c r="G148" s="71" t="s">
        <v>70</v>
      </c>
      <c r="H148" s="2"/>
      <c r="I148" s="2" t="s">
        <v>52</v>
      </c>
      <c r="J148" s="2"/>
      <c r="K148" s="2" t="s">
        <v>97</v>
      </c>
      <c r="L148" s="58" t="s">
        <v>98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58" t="s">
        <v>65</v>
      </c>
      <c r="G149" s="2" t="s">
        <v>64</v>
      </c>
      <c r="H149" s="2"/>
      <c r="I149" s="2" t="s">
        <v>52</v>
      </c>
      <c r="J149" s="2"/>
      <c r="K149" s="71" t="s">
        <v>88</v>
      </c>
      <c r="L149" s="58" t="s">
        <v>89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58" t="s">
        <v>91</v>
      </c>
      <c r="G150" s="2" t="s">
        <v>90</v>
      </c>
      <c r="H150" s="2"/>
      <c r="I150" s="2" t="s">
        <v>52</v>
      </c>
      <c r="J150" s="2"/>
      <c r="K150" s="2" t="s">
        <v>76</v>
      </c>
      <c r="L150" s="58" t="s">
        <v>75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58" t="s">
        <v>83</v>
      </c>
      <c r="G151" s="2" t="s">
        <v>68</v>
      </c>
      <c r="H151" s="2"/>
      <c r="I151" s="2" t="s">
        <v>52</v>
      </c>
      <c r="J151" s="2"/>
      <c r="K151" s="2" t="s">
        <v>99</v>
      </c>
      <c r="L151" s="58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58" t="s">
        <v>66</v>
      </c>
      <c r="G152" s="2" t="s">
        <v>92</v>
      </c>
      <c r="H152" s="2"/>
      <c r="I152" s="2" t="s">
        <v>52</v>
      </c>
      <c r="J152" s="2"/>
      <c r="K152" s="2" t="s">
        <v>81</v>
      </c>
      <c r="L152" s="58" t="s">
        <v>82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58" t="s">
        <v>72</v>
      </c>
      <c r="G153" s="2" t="s">
        <v>71</v>
      </c>
      <c r="H153" s="2"/>
      <c r="I153" s="2" t="s">
        <v>52</v>
      </c>
      <c r="J153" s="2"/>
      <c r="K153" s="2" t="s">
        <v>62</v>
      </c>
      <c r="L153" s="58" t="s">
        <v>63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58" t="s">
        <v>80</v>
      </c>
      <c r="G154" s="2" t="s">
        <v>79</v>
      </c>
      <c r="H154" s="2"/>
      <c r="I154" s="2" t="s">
        <v>52</v>
      </c>
      <c r="J154" s="2"/>
      <c r="K154" s="2" t="s">
        <v>95</v>
      </c>
      <c r="L154" s="58" t="s">
        <v>96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58" t="s">
        <v>94</v>
      </c>
      <c r="G155" s="2" t="s">
        <v>93</v>
      </c>
      <c r="H155" s="2"/>
      <c r="I155" s="2" t="s">
        <v>52</v>
      </c>
      <c r="J155" s="2"/>
      <c r="K155" s="2" t="s">
        <v>77</v>
      </c>
      <c r="L155" s="58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58" t="s">
        <v>61</v>
      </c>
      <c r="G156" s="2" t="s">
        <v>60</v>
      </c>
      <c r="H156" s="2"/>
      <c r="I156" s="2" t="s">
        <v>52</v>
      </c>
      <c r="J156" s="2"/>
      <c r="K156" s="2" t="s">
        <v>74</v>
      </c>
      <c r="L156" s="58" t="s">
        <v>73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58" t="s">
        <v>87</v>
      </c>
      <c r="G159" s="2" t="s">
        <v>86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58" t="s">
        <v>96</v>
      </c>
      <c r="G161" s="2" t="s">
        <v>95</v>
      </c>
      <c r="H161" s="2"/>
      <c r="I161" s="2" t="s">
        <v>52</v>
      </c>
      <c r="J161" s="2"/>
      <c r="K161" s="2" t="s">
        <v>77</v>
      </c>
      <c r="L161" s="58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58" t="s">
        <v>91</v>
      </c>
      <c r="G162" s="2" t="s">
        <v>90</v>
      </c>
      <c r="H162" s="2"/>
      <c r="I162" s="2" t="s">
        <v>52</v>
      </c>
      <c r="J162" s="2"/>
      <c r="K162" s="2" t="s">
        <v>81</v>
      </c>
      <c r="L162" s="58" t="s">
        <v>82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58" t="s">
        <v>75</v>
      </c>
      <c r="G163" s="2" t="s">
        <v>76</v>
      </c>
      <c r="H163" s="2"/>
      <c r="I163" s="2" t="s">
        <v>52</v>
      </c>
      <c r="J163" s="2"/>
      <c r="K163" s="2" t="s">
        <v>74</v>
      </c>
      <c r="L163" s="58" t="s">
        <v>73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58" t="s">
        <v>66</v>
      </c>
      <c r="G164" s="2" t="s">
        <v>92</v>
      </c>
      <c r="H164" s="2"/>
      <c r="I164" s="2" t="s">
        <v>52</v>
      </c>
      <c r="J164" s="2"/>
      <c r="K164" s="2" t="s">
        <v>79</v>
      </c>
      <c r="L164" s="58" t="s">
        <v>80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58" t="s">
        <v>72</v>
      </c>
      <c r="G165" s="2" t="s">
        <v>71</v>
      </c>
      <c r="H165" s="2"/>
      <c r="I165" s="2" t="s">
        <v>52</v>
      </c>
      <c r="J165" s="2"/>
      <c r="K165" s="2" t="s">
        <v>99</v>
      </c>
      <c r="L165" s="58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58" t="s">
        <v>85</v>
      </c>
      <c r="G166" s="2" t="s">
        <v>84</v>
      </c>
      <c r="H166" s="2"/>
      <c r="I166" s="2" t="s">
        <v>52</v>
      </c>
      <c r="J166" s="2"/>
      <c r="K166" s="71" t="s">
        <v>88</v>
      </c>
      <c r="L166" s="58" t="s">
        <v>89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58" t="s">
        <v>94</v>
      </c>
      <c r="G167" s="2" t="s">
        <v>93</v>
      </c>
      <c r="H167" s="2"/>
      <c r="I167" s="2" t="s">
        <v>52</v>
      </c>
      <c r="J167" s="2"/>
      <c r="K167" s="2" t="s">
        <v>68</v>
      </c>
      <c r="L167" s="58" t="s">
        <v>83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97</v>
      </c>
      <c r="L168" s="58" t="s">
        <v>98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58" t="s">
        <v>98</v>
      </c>
      <c r="G171" s="2" t="s">
        <v>97</v>
      </c>
      <c r="H171" s="2"/>
      <c r="I171" s="2" t="s">
        <v>52</v>
      </c>
      <c r="J171" s="2"/>
      <c r="K171" s="2" t="s">
        <v>71</v>
      </c>
      <c r="L171" s="58" t="s">
        <v>72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58" t="s">
        <v>100</v>
      </c>
      <c r="G172" s="2" t="s">
        <v>99</v>
      </c>
      <c r="H172" s="2"/>
      <c r="I172" s="2" t="s">
        <v>52</v>
      </c>
      <c r="J172" s="2"/>
      <c r="K172" s="2" t="s">
        <v>86</v>
      </c>
      <c r="L172" s="58" t="s">
        <v>87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95</v>
      </c>
      <c r="L173" s="58" t="s">
        <v>96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58" t="s">
        <v>73</v>
      </c>
      <c r="G174" s="2" t="s">
        <v>74</v>
      </c>
      <c r="H174" s="2"/>
      <c r="I174" s="2" t="s">
        <v>52</v>
      </c>
      <c r="J174" s="2"/>
      <c r="K174" s="2" t="s">
        <v>92</v>
      </c>
      <c r="L174" s="58" t="s">
        <v>66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58" t="s">
        <v>83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58" t="s">
        <v>82</v>
      </c>
      <c r="G176" s="2" t="s">
        <v>81</v>
      </c>
      <c r="H176" s="2"/>
      <c r="I176" s="2" t="s">
        <v>52</v>
      </c>
      <c r="J176" s="2"/>
      <c r="K176" s="2" t="s">
        <v>84</v>
      </c>
      <c r="L176" s="58" t="s">
        <v>85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58" t="s">
        <v>80</v>
      </c>
      <c r="G178" s="2" t="s">
        <v>79</v>
      </c>
      <c r="H178" s="2"/>
      <c r="I178" s="2" t="s">
        <v>52</v>
      </c>
      <c r="J178" s="2"/>
      <c r="K178" s="2" t="s">
        <v>93</v>
      </c>
      <c r="L178" s="58" t="s">
        <v>94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58" t="s">
        <v>89</v>
      </c>
      <c r="G179" s="71" t="s">
        <v>88</v>
      </c>
      <c r="H179" s="2"/>
      <c r="I179" s="2" t="s">
        <v>52</v>
      </c>
      <c r="J179" s="2"/>
      <c r="K179" s="2" t="s">
        <v>76</v>
      </c>
      <c r="L179" s="58" t="s">
        <v>75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58" t="s">
        <v>78</v>
      </c>
      <c r="G180" s="2" t="s">
        <v>77</v>
      </c>
      <c r="H180" s="2"/>
      <c r="I180" s="2" t="s">
        <v>52</v>
      </c>
      <c r="J180" s="2"/>
      <c r="K180" s="2" t="s">
        <v>90</v>
      </c>
      <c r="L180" s="58" t="s">
        <v>91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58" t="s">
        <v>87</v>
      </c>
      <c r="G183" s="2" t="s">
        <v>86</v>
      </c>
      <c r="H183" s="2"/>
      <c r="I183" s="2" t="s">
        <v>52</v>
      </c>
      <c r="J183" s="2"/>
      <c r="K183" s="2" t="s">
        <v>90</v>
      </c>
      <c r="L183" s="58" t="s">
        <v>91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58" t="s">
        <v>100</v>
      </c>
      <c r="G184" s="2" t="s">
        <v>99</v>
      </c>
      <c r="H184" s="2"/>
      <c r="I184" s="2" t="s">
        <v>52</v>
      </c>
      <c r="J184" s="2"/>
      <c r="K184" s="2" t="s">
        <v>93</v>
      </c>
      <c r="L184" s="58" t="s">
        <v>94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79</v>
      </c>
      <c r="L185" s="58" t="s">
        <v>80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 t="shared" si="16"/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58" t="s">
        <v>73</v>
      </c>
      <c r="G186" s="2" t="s">
        <v>74</v>
      </c>
      <c r="H186" s="2"/>
      <c r="I186" s="2" t="s">
        <v>52</v>
      </c>
      <c r="J186" s="2"/>
      <c r="K186" s="2" t="s">
        <v>77</v>
      </c>
      <c r="L186" s="58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58" t="s">
        <v>83</v>
      </c>
      <c r="G187" s="2" t="s">
        <v>68</v>
      </c>
      <c r="H187" s="2"/>
      <c r="I187" s="2" t="s">
        <v>52</v>
      </c>
      <c r="J187" s="2"/>
      <c r="K187" s="2" t="s">
        <v>97</v>
      </c>
      <c r="L187" s="58" t="s">
        <v>98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58" t="s">
        <v>66</v>
      </c>
      <c r="G188" s="2" t="s">
        <v>92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81</v>
      </c>
      <c r="L189" s="58" t="s">
        <v>82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58" t="s">
        <v>85</v>
      </c>
      <c r="G190" s="2" t="s">
        <v>84</v>
      </c>
      <c r="H190" s="2"/>
      <c r="I190" s="2" t="s">
        <v>52</v>
      </c>
      <c r="J190" s="2"/>
      <c r="K190" s="2" t="s">
        <v>76</v>
      </c>
      <c r="L190" s="58" t="s">
        <v>75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58" t="s">
        <v>89</v>
      </c>
      <c r="G191" s="71" t="s">
        <v>88</v>
      </c>
      <c r="H191" s="2"/>
      <c r="I191" s="2" t="s">
        <v>52</v>
      </c>
      <c r="J191" s="2"/>
      <c r="K191" s="2" t="s">
        <v>95</v>
      </c>
      <c r="L191" s="58" t="s">
        <v>96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71</v>
      </c>
      <c r="L192" s="58" t="s">
        <v>72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58" t="s">
        <v>98</v>
      </c>
      <c r="G195" s="2" t="s">
        <v>97</v>
      </c>
      <c r="H195" s="2"/>
      <c r="I195" s="2" t="s">
        <v>52</v>
      </c>
      <c r="J195" s="2"/>
      <c r="K195" s="71" t="s">
        <v>88</v>
      </c>
      <c r="L195" s="58" t="s">
        <v>89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58" t="s">
        <v>96</v>
      </c>
      <c r="G197" s="2" t="s">
        <v>95</v>
      </c>
      <c r="H197" s="2"/>
      <c r="I197" s="2" t="s">
        <v>52</v>
      </c>
      <c r="J197" s="2"/>
      <c r="K197" s="2" t="s">
        <v>92</v>
      </c>
      <c r="L197" s="58" t="s">
        <v>66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58" t="s">
        <v>91</v>
      </c>
      <c r="G198" s="2" t="s">
        <v>90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58" t="s">
        <v>75</v>
      </c>
      <c r="G199" s="2" t="s">
        <v>76</v>
      </c>
      <c r="H199" s="2"/>
      <c r="I199" s="2" t="s">
        <v>52</v>
      </c>
      <c r="J199" s="2"/>
      <c r="K199" s="2" t="s">
        <v>86</v>
      </c>
      <c r="L199" s="58" t="s">
        <v>87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58" t="s">
        <v>82</v>
      </c>
      <c r="G200" s="2" t="s">
        <v>81</v>
      </c>
      <c r="H200" s="2"/>
      <c r="I200" s="2" t="s">
        <v>52</v>
      </c>
      <c r="J200" s="2"/>
      <c r="K200" s="2" t="s">
        <v>99</v>
      </c>
      <c r="L200" s="58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58" t="s">
        <v>72</v>
      </c>
      <c r="G201" s="2" t="s">
        <v>71</v>
      </c>
      <c r="H201" s="2"/>
      <c r="I201" s="2" t="s">
        <v>52</v>
      </c>
      <c r="J201" s="2"/>
      <c r="K201" s="2" t="s">
        <v>68</v>
      </c>
      <c r="L201" s="58" t="s">
        <v>83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58" t="s">
        <v>80</v>
      </c>
      <c r="G202" s="2" t="s">
        <v>79</v>
      </c>
      <c r="H202" s="2"/>
      <c r="I202" s="2" t="s">
        <v>52</v>
      </c>
      <c r="J202" s="2"/>
      <c r="K202" s="2" t="s">
        <v>74</v>
      </c>
      <c r="L202" s="58" t="s">
        <v>73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58" t="s">
        <v>94</v>
      </c>
      <c r="G203" s="2" t="s">
        <v>93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58" t="s">
        <v>78</v>
      </c>
      <c r="G204" s="2" t="s">
        <v>77</v>
      </c>
      <c r="H204" s="2"/>
      <c r="I204" s="2" t="s">
        <v>52</v>
      </c>
      <c r="J204" s="2"/>
      <c r="K204" s="2" t="s">
        <v>84</v>
      </c>
      <c r="L204" s="58" t="s">
        <v>85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58" t="s">
        <v>98</v>
      </c>
      <c r="G207" s="2" t="s">
        <v>97</v>
      </c>
      <c r="H207" s="2"/>
      <c r="I207" s="2" t="s">
        <v>52</v>
      </c>
      <c r="J207" s="2"/>
      <c r="K207" s="2" t="s">
        <v>74</v>
      </c>
      <c r="L207" s="58" t="s">
        <v>73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58" t="s">
        <v>100</v>
      </c>
      <c r="G208" s="2" t="s">
        <v>99</v>
      </c>
      <c r="H208" s="2"/>
      <c r="I208" s="2" t="s">
        <v>52</v>
      </c>
      <c r="J208" s="2"/>
      <c r="K208" s="2" t="s">
        <v>76</v>
      </c>
      <c r="L208" s="58" t="s">
        <v>75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58" t="s">
        <v>96</v>
      </c>
      <c r="G209" s="2" t="s">
        <v>95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58" t="s">
        <v>91</v>
      </c>
      <c r="G210" s="2" t="s">
        <v>90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58" t="s">
        <v>83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58" t="s">
        <v>82</v>
      </c>
      <c r="G212" s="2" t="s">
        <v>81</v>
      </c>
      <c r="H212" s="2"/>
      <c r="I212" s="2" t="s">
        <v>52</v>
      </c>
      <c r="J212" s="2"/>
      <c r="K212" s="2" t="s">
        <v>86</v>
      </c>
      <c r="L212" s="58" t="s">
        <v>87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58" t="s">
        <v>72</v>
      </c>
      <c r="G213" s="2" t="s">
        <v>71</v>
      </c>
      <c r="H213" s="2"/>
      <c r="I213" s="2" t="s">
        <v>52</v>
      </c>
      <c r="J213" s="2"/>
      <c r="K213" s="2" t="s">
        <v>93</v>
      </c>
      <c r="L213" s="58" t="s">
        <v>94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58" t="s">
        <v>85</v>
      </c>
      <c r="G214" s="2" t="s">
        <v>84</v>
      </c>
      <c r="H214" s="2"/>
      <c r="I214" s="2" t="s">
        <v>52</v>
      </c>
      <c r="J214" s="2"/>
      <c r="K214" s="2" t="s">
        <v>92</v>
      </c>
      <c r="L214" s="58" t="s">
        <v>66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58" t="s">
        <v>89</v>
      </c>
      <c r="G215" s="71" t="s">
        <v>88</v>
      </c>
      <c r="H215" s="2"/>
      <c r="I215" s="2" t="s">
        <v>52</v>
      </c>
      <c r="J215" s="2"/>
      <c r="K215" s="2" t="s">
        <v>79</v>
      </c>
      <c r="L215" s="58" t="s">
        <v>80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58" t="s">
        <v>78</v>
      </c>
      <c r="G216" s="2" t="s">
        <v>77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58" t="s">
        <v>87</v>
      </c>
      <c r="G219" s="2" t="s">
        <v>86</v>
      </c>
      <c r="H219" s="2"/>
      <c r="I219" s="2" t="s">
        <v>52</v>
      </c>
      <c r="J219" s="67"/>
      <c r="K219" s="2" t="s">
        <v>95</v>
      </c>
      <c r="L219" s="58" t="s">
        <v>96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88</v>
      </c>
      <c r="L220" s="58" t="s">
        <v>89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83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58" t="s">
        <v>73</v>
      </c>
      <c r="G222" s="2" t="s">
        <v>74</v>
      </c>
      <c r="H222" s="67"/>
      <c r="I222" s="2" t="s">
        <v>52</v>
      </c>
      <c r="J222" s="67"/>
      <c r="K222" s="2" t="s">
        <v>71</v>
      </c>
      <c r="L222" s="58" t="s">
        <v>72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58" t="s">
        <v>75</v>
      </c>
      <c r="G223" s="2" t="s">
        <v>76</v>
      </c>
      <c r="H223" s="67"/>
      <c r="I223" s="2" t="s">
        <v>52</v>
      </c>
      <c r="J223" s="67"/>
      <c r="K223" s="2" t="s">
        <v>81</v>
      </c>
      <c r="L223" s="58" t="s">
        <v>82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58" t="s">
        <v>66</v>
      </c>
      <c r="G224" s="2" t="s">
        <v>92</v>
      </c>
      <c r="H224" s="67"/>
      <c r="I224" s="2" t="s">
        <v>52</v>
      </c>
      <c r="J224" s="67"/>
      <c r="K224" s="2" t="s">
        <v>90</v>
      </c>
      <c r="L224" s="58" t="s">
        <v>91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84</v>
      </c>
      <c r="L225" s="58" t="s">
        <v>85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58" t="s">
        <v>80</v>
      </c>
      <c r="G226" s="2" t="s">
        <v>79</v>
      </c>
      <c r="H226" s="67"/>
      <c r="I226" s="2" t="s">
        <v>52</v>
      </c>
      <c r="J226" s="67"/>
      <c r="K226" s="2" t="s">
        <v>77</v>
      </c>
      <c r="L226" s="58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58" t="s">
        <v>94</v>
      </c>
      <c r="G227" s="2" t="s">
        <v>93</v>
      </c>
      <c r="H227" s="2"/>
      <c r="I227" s="2" t="s">
        <v>52</v>
      </c>
      <c r="J227" s="2"/>
      <c r="K227" s="2" t="s">
        <v>97</v>
      </c>
      <c r="L227" s="58" t="s">
        <v>98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99</v>
      </c>
      <c r="L228" s="58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Raio negro hd</v>
      </c>
      <c r="Y239" s="18">
        <f t="shared" ref="Y239:AG254" si="32">Y3</f>
        <v>29</v>
      </c>
      <c r="Z239" s="18">
        <f t="shared" si="32"/>
        <v>12</v>
      </c>
      <c r="AA239" s="18">
        <f t="shared" si="32"/>
        <v>9</v>
      </c>
      <c r="AB239" s="18">
        <f t="shared" si="32"/>
        <v>2</v>
      </c>
      <c r="AC239" s="18">
        <f t="shared" si="32"/>
        <v>1</v>
      </c>
      <c r="AD239" s="18">
        <f t="shared" si="32"/>
        <v>1209</v>
      </c>
      <c r="AE239" s="18">
        <f t="shared" si="32"/>
        <v>925.67</v>
      </c>
      <c r="AF239" s="23">
        <f t="shared" si="32"/>
        <v>283.33000000000004</v>
      </c>
      <c r="AG239" s="32">
        <f t="shared" si="32"/>
        <v>100.75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33">X4</f>
        <v>Sociedad Football</v>
      </c>
      <c r="Y240" s="29">
        <f t="shared" si="32"/>
        <v>27</v>
      </c>
      <c r="Z240" s="29">
        <f t="shared" si="32"/>
        <v>12</v>
      </c>
      <c r="AA240" s="29">
        <f t="shared" si="32"/>
        <v>8</v>
      </c>
      <c r="AB240" s="29">
        <f t="shared" si="32"/>
        <v>3</v>
      </c>
      <c r="AC240" s="29">
        <f t="shared" si="32"/>
        <v>1</v>
      </c>
      <c r="AD240" s="29">
        <f t="shared" si="32"/>
        <v>1056.1100000000001</v>
      </c>
      <c r="AE240" s="29">
        <f t="shared" si="32"/>
        <v>765.17000000000007</v>
      </c>
      <c r="AF240" s="24">
        <f t="shared" si="32"/>
        <v>290.94000000000005</v>
      </c>
      <c r="AG240" s="33">
        <f t="shared" si="32"/>
        <v>88.009166666666673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33"/>
        <v>Camuri futebol club</v>
      </c>
      <c r="Y241" s="29">
        <f t="shared" si="32"/>
        <v>25</v>
      </c>
      <c r="Z241" s="29">
        <f t="shared" si="32"/>
        <v>12</v>
      </c>
      <c r="AA241" s="29">
        <f t="shared" si="32"/>
        <v>7</v>
      </c>
      <c r="AB241" s="29">
        <f t="shared" si="32"/>
        <v>4</v>
      </c>
      <c r="AC241" s="29">
        <f t="shared" si="32"/>
        <v>1</v>
      </c>
      <c r="AD241" s="29">
        <f t="shared" si="32"/>
        <v>1069.3200000000002</v>
      </c>
      <c r="AE241" s="29">
        <f t="shared" si="32"/>
        <v>731.51</v>
      </c>
      <c r="AF241" s="24">
        <f t="shared" si="32"/>
        <v>337.81000000000017</v>
      </c>
      <c r="AG241" s="33">
        <f t="shared" si="32"/>
        <v>89.110000000000014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33"/>
        <v>Cangaceiros Unnited FC</v>
      </c>
      <c r="Y242" s="29">
        <f t="shared" si="32"/>
        <v>24</v>
      </c>
      <c r="Z242" s="29">
        <f t="shared" si="32"/>
        <v>12</v>
      </c>
      <c r="AA242" s="29">
        <f t="shared" si="32"/>
        <v>7</v>
      </c>
      <c r="AB242" s="29">
        <f t="shared" si="32"/>
        <v>3</v>
      </c>
      <c r="AC242" s="29">
        <f t="shared" si="32"/>
        <v>2</v>
      </c>
      <c r="AD242" s="29">
        <f t="shared" si="32"/>
        <v>1163.6999999999998</v>
      </c>
      <c r="AE242" s="29">
        <f t="shared" si="32"/>
        <v>992.56999999999994</v>
      </c>
      <c r="AF242" s="24">
        <f t="shared" si="32"/>
        <v>171.12999999999988</v>
      </c>
      <c r="AG242" s="33">
        <f t="shared" si="32"/>
        <v>96.97499999999998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33"/>
        <v>Louco Fc 01</v>
      </c>
      <c r="Y243" s="30">
        <f t="shared" si="32"/>
        <v>22</v>
      </c>
      <c r="Z243" s="30">
        <f t="shared" si="32"/>
        <v>12</v>
      </c>
      <c r="AA243" s="30">
        <f t="shared" si="32"/>
        <v>7</v>
      </c>
      <c r="AB243" s="30">
        <f t="shared" si="32"/>
        <v>1</v>
      </c>
      <c r="AC243" s="30">
        <f t="shared" si="32"/>
        <v>4</v>
      </c>
      <c r="AD243" s="30">
        <f t="shared" si="32"/>
        <v>1090.0900000000001</v>
      </c>
      <c r="AE243" s="30">
        <f t="shared" si="32"/>
        <v>905.78</v>
      </c>
      <c r="AF243" s="25">
        <f t="shared" si="32"/>
        <v>184.31000000000017</v>
      </c>
      <c r="AG243" s="33">
        <f t="shared" si="32"/>
        <v>90.84083333333335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33"/>
        <v>maurícioriachesse</v>
      </c>
      <c r="Y244" s="30">
        <f t="shared" si="32"/>
        <v>22</v>
      </c>
      <c r="Z244" s="30">
        <f t="shared" si="32"/>
        <v>12</v>
      </c>
      <c r="AA244" s="30">
        <f t="shared" si="32"/>
        <v>7</v>
      </c>
      <c r="AB244" s="30">
        <f t="shared" si="32"/>
        <v>1</v>
      </c>
      <c r="AC244" s="30">
        <f t="shared" si="32"/>
        <v>4</v>
      </c>
      <c r="AD244" s="30">
        <f t="shared" si="32"/>
        <v>1110.72</v>
      </c>
      <c r="AE244" s="30">
        <f t="shared" si="32"/>
        <v>936.34999999999991</v>
      </c>
      <c r="AF244" s="25">
        <f t="shared" si="32"/>
        <v>174.37000000000012</v>
      </c>
      <c r="AG244" s="33">
        <f t="shared" si="32"/>
        <v>92.56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33"/>
        <v>Nelore myo</v>
      </c>
      <c r="Y245" s="30">
        <f t="shared" si="32"/>
        <v>18</v>
      </c>
      <c r="Z245" s="30">
        <f t="shared" si="32"/>
        <v>12</v>
      </c>
      <c r="AA245" s="30">
        <f t="shared" si="32"/>
        <v>5</v>
      </c>
      <c r="AB245" s="30">
        <f t="shared" si="32"/>
        <v>3</v>
      </c>
      <c r="AC245" s="30">
        <f t="shared" si="32"/>
        <v>4</v>
      </c>
      <c r="AD245" s="30">
        <f t="shared" si="32"/>
        <v>1018.92</v>
      </c>
      <c r="AE245" s="30">
        <f t="shared" si="32"/>
        <v>930.41</v>
      </c>
      <c r="AF245" s="25">
        <f t="shared" si="32"/>
        <v>88.509999999999991</v>
      </c>
      <c r="AG245" s="33">
        <f t="shared" si="32"/>
        <v>84.91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33"/>
        <v>Álef Pitbull</v>
      </c>
      <c r="Y246" s="30">
        <f t="shared" si="32"/>
        <v>18</v>
      </c>
      <c r="Z246" s="30">
        <f t="shared" si="32"/>
        <v>12</v>
      </c>
      <c r="AA246" s="30">
        <f t="shared" si="32"/>
        <v>5</v>
      </c>
      <c r="AB246" s="30">
        <f t="shared" si="32"/>
        <v>3</v>
      </c>
      <c r="AC246" s="30">
        <f t="shared" si="32"/>
        <v>4</v>
      </c>
      <c r="AD246" s="30">
        <f t="shared" si="32"/>
        <v>1088.1799999999998</v>
      </c>
      <c r="AE246" s="30">
        <f t="shared" si="32"/>
        <v>1014.0200000000001</v>
      </c>
      <c r="AF246" s="25">
        <f t="shared" si="32"/>
        <v>74.159999999999741</v>
      </c>
      <c r="AG246" s="33">
        <f t="shared" si="32"/>
        <v>90.681666666666658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33"/>
        <v>Racionais FC_81</v>
      </c>
      <c r="Y247" s="30">
        <f t="shared" si="32"/>
        <v>17</v>
      </c>
      <c r="Z247" s="30">
        <f t="shared" si="32"/>
        <v>12</v>
      </c>
      <c r="AA247" s="30">
        <f t="shared" si="32"/>
        <v>4</v>
      </c>
      <c r="AB247" s="30">
        <f t="shared" si="32"/>
        <v>5</v>
      </c>
      <c r="AC247" s="30">
        <f t="shared" si="32"/>
        <v>3</v>
      </c>
      <c r="AD247" s="30">
        <f t="shared" si="32"/>
        <v>1036.51</v>
      </c>
      <c r="AE247" s="30">
        <f t="shared" si="32"/>
        <v>866.45</v>
      </c>
      <c r="AF247" s="25">
        <f t="shared" si="32"/>
        <v>170.05999999999995</v>
      </c>
      <c r="AG247" s="33">
        <f t="shared" si="32"/>
        <v>86.375833333333333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33"/>
        <v>Contenda 1995 Fc</v>
      </c>
      <c r="Y248" s="30">
        <f t="shared" si="32"/>
        <v>16</v>
      </c>
      <c r="Z248" s="30">
        <f t="shared" si="32"/>
        <v>12</v>
      </c>
      <c r="AA248" s="30">
        <f t="shared" si="32"/>
        <v>5</v>
      </c>
      <c r="AB248" s="30">
        <f t="shared" si="32"/>
        <v>1</v>
      </c>
      <c r="AC248" s="30">
        <f t="shared" si="32"/>
        <v>6</v>
      </c>
      <c r="AD248" s="30">
        <f t="shared" si="32"/>
        <v>594.95000000000005</v>
      </c>
      <c r="AE248" s="30">
        <f t="shared" si="32"/>
        <v>759.34</v>
      </c>
      <c r="AF248" s="25">
        <f t="shared" si="32"/>
        <v>-164.39</v>
      </c>
      <c r="AG248" s="33">
        <f t="shared" si="32"/>
        <v>49.579166666666673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33"/>
        <v>KORINCHASU</v>
      </c>
      <c r="Y249" s="30">
        <f t="shared" si="32"/>
        <v>16</v>
      </c>
      <c r="Z249" s="30">
        <f t="shared" si="32"/>
        <v>12</v>
      </c>
      <c r="AA249" s="30">
        <f t="shared" si="32"/>
        <v>4</v>
      </c>
      <c r="AB249" s="30">
        <f t="shared" si="32"/>
        <v>4</v>
      </c>
      <c r="AC249" s="30">
        <f t="shared" si="32"/>
        <v>4</v>
      </c>
      <c r="AD249" s="30">
        <f t="shared" si="32"/>
        <v>1114.4099999999999</v>
      </c>
      <c r="AE249" s="30">
        <f t="shared" si="32"/>
        <v>1106.83</v>
      </c>
      <c r="AF249" s="25">
        <f t="shared" si="32"/>
        <v>7.5799999999999272</v>
      </c>
      <c r="AG249" s="33">
        <f t="shared" si="32"/>
        <v>92.867499999999993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33"/>
        <v>pikachu 34</v>
      </c>
      <c r="Y250" s="30">
        <f t="shared" si="32"/>
        <v>16</v>
      </c>
      <c r="Z250" s="30">
        <f t="shared" si="32"/>
        <v>12</v>
      </c>
      <c r="AA250" s="30">
        <f t="shared" si="32"/>
        <v>4</v>
      </c>
      <c r="AB250" s="30">
        <f t="shared" si="32"/>
        <v>4</v>
      </c>
      <c r="AC250" s="30">
        <f t="shared" si="32"/>
        <v>4</v>
      </c>
      <c r="AD250" s="30">
        <f t="shared" si="32"/>
        <v>917.07999999999993</v>
      </c>
      <c r="AE250" s="30">
        <f t="shared" si="32"/>
        <v>1038.29</v>
      </c>
      <c r="AF250" s="25">
        <f t="shared" si="32"/>
        <v>-121.21000000000004</v>
      </c>
      <c r="AG250" s="33">
        <f t="shared" si="32"/>
        <v>76.423333333333332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33"/>
        <v>Wake Wake Fc98</v>
      </c>
      <c r="Y251" s="30">
        <f t="shared" si="32"/>
        <v>15</v>
      </c>
      <c r="Z251" s="30">
        <f t="shared" si="32"/>
        <v>12</v>
      </c>
      <c r="AA251" s="30">
        <f t="shared" si="32"/>
        <v>4</v>
      </c>
      <c r="AB251" s="30">
        <f t="shared" si="32"/>
        <v>3</v>
      </c>
      <c r="AC251" s="30">
        <f t="shared" si="32"/>
        <v>5</v>
      </c>
      <c r="AD251" s="30">
        <f t="shared" si="32"/>
        <v>1037.8700000000001</v>
      </c>
      <c r="AE251" s="30">
        <f t="shared" si="32"/>
        <v>974.04</v>
      </c>
      <c r="AF251" s="25">
        <f t="shared" si="32"/>
        <v>63.830000000000155</v>
      </c>
      <c r="AG251" s="33">
        <f t="shared" si="32"/>
        <v>86.489166666666677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33"/>
        <v>SEPalmeiras Imponente</v>
      </c>
      <c r="Y252" s="30">
        <f t="shared" si="32"/>
        <v>14</v>
      </c>
      <c r="Z252" s="30">
        <f t="shared" si="32"/>
        <v>12</v>
      </c>
      <c r="AA252" s="30">
        <f t="shared" si="32"/>
        <v>3</v>
      </c>
      <c r="AB252" s="30">
        <f t="shared" si="32"/>
        <v>5</v>
      </c>
      <c r="AC252" s="30">
        <f t="shared" si="32"/>
        <v>4</v>
      </c>
      <c r="AD252" s="30">
        <f t="shared" si="32"/>
        <v>1027.53</v>
      </c>
      <c r="AE252" s="30">
        <f t="shared" si="32"/>
        <v>1064.69</v>
      </c>
      <c r="AF252" s="25">
        <f t="shared" si="32"/>
        <v>-37.160000000000082</v>
      </c>
      <c r="AG252" s="33">
        <f t="shared" si="32"/>
        <v>85.627499999999998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33"/>
        <v>timão.riacho.FC.13</v>
      </c>
      <c r="Y253" s="30">
        <f t="shared" si="32"/>
        <v>13</v>
      </c>
      <c r="Z253" s="30">
        <f t="shared" si="32"/>
        <v>12</v>
      </c>
      <c r="AA253" s="30">
        <f t="shared" si="32"/>
        <v>4</v>
      </c>
      <c r="AB253" s="30">
        <f t="shared" si="32"/>
        <v>1</v>
      </c>
      <c r="AC253" s="30">
        <f t="shared" si="32"/>
        <v>7</v>
      </c>
      <c r="AD253" s="30">
        <f t="shared" si="32"/>
        <v>819.96</v>
      </c>
      <c r="AE253" s="30">
        <f t="shared" si="32"/>
        <v>950.59</v>
      </c>
      <c r="AF253" s="25">
        <f t="shared" si="32"/>
        <v>-130.63</v>
      </c>
      <c r="AG253" s="33">
        <f t="shared" si="32"/>
        <v>68.33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33"/>
        <v>Inter Movistar 14</v>
      </c>
      <c r="Y254" s="30">
        <f t="shared" si="32"/>
        <v>13</v>
      </c>
      <c r="Z254" s="30">
        <f t="shared" si="32"/>
        <v>12</v>
      </c>
      <c r="AA254" s="30">
        <f t="shared" si="32"/>
        <v>4</v>
      </c>
      <c r="AB254" s="30">
        <f t="shared" si="32"/>
        <v>1</v>
      </c>
      <c r="AC254" s="30">
        <f t="shared" si="32"/>
        <v>7</v>
      </c>
      <c r="AD254" s="30">
        <f t="shared" si="32"/>
        <v>815.31000000000006</v>
      </c>
      <c r="AE254" s="30">
        <f t="shared" si="32"/>
        <v>951.29</v>
      </c>
      <c r="AF254" s="25">
        <f t="shared" si="32"/>
        <v>-135.9799999999999</v>
      </c>
      <c r="AG254" s="33">
        <f t="shared" si="32"/>
        <v>67.94250000000001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33"/>
        <v>FJM Miranda FC</v>
      </c>
      <c r="Y255" s="31">
        <f t="shared" si="33"/>
        <v>11</v>
      </c>
      <c r="Z255" s="31">
        <f t="shared" si="33"/>
        <v>12</v>
      </c>
      <c r="AA255" s="31">
        <f t="shared" si="33"/>
        <v>3</v>
      </c>
      <c r="AB255" s="31">
        <f t="shared" si="33"/>
        <v>2</v>
      </c>
      <c r="AC255" s="31">
        <f t="shared" si="33"/>
        <v>7</v>
      </c>
      <c r="AD255" s="31">
        <f t="shared" si="33"/>
        <v>757.99</v>
      </c>
      <c r="AE255" s="31">
        <f t="shared" si="33"/>
        <v>861.9</v>
      </c>
      <c r="AF255" s="26">
        <f t="shared" si="33"/>
        <v>-103.90999999999997</v>
      </c>
      <c r="AG255" s="33">
        <f t="shared" si="33"/>
        <v>63.165833333333332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34">X20</f>
        <v>Bruno_007MTB</v>
      </c>
      <c r="Y256" s="31">
        <f t="shared" si="34"/>
        <v>8</v>
      </c>
      <c r="Z256" s="31">
        <f t="shared" si="34"/>
        <v>12</v>
      </c>
      <c r="AA256" s="31">
        <f t="shared" si="34"/>
        <v>2</v>
      </c>
      <c r="AB256" s="31">
        <f t="shared" si="34"/>
        <v>2</v>
      </c>
      <c r="AC256" s="31">
        <f t="shared" si="34"/>
        <v>8</v>
      </c>
      <c r="AD256" s="31">
        <f t="shared" si="34"/>
        <v>748.15</v>
      </c>
      <c r="AE256" s="31">
        <f t="shared" si="34"/>
        <v>908.42</v>
      </c>
      <c r="AF256" s="26">
        <f t="shared" si="34"/>
        <v>-160.26999999999998</v>
      </c>
      <c r="AG256" s="33">
        <f t="shared" si="34"/>
        <v>62.345833333333331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34"/>
        <v>Nautico1998</v>
      </c>
      <c r="Y257" s="31">
        <f t="shared" si="34"/>
        <v>5</v>
      </c>
      <c r="Z257" s="31">
        <f t="shared" si="34"/>
        <v>12</v>
      </c>
      <c r="AA257" s="31">
        <f t="shared" si="34"/>
        <v>1</v>
      </c>
      <c r="AB257" s="31">
        <f t="shared" si="34"/>
        <v>2</v>
      </c>
      <c r="AC257" s="31">
        <f t="shared" si="34"/>
        <v>9</v>
      </c>
      <c r="AD257" s="31">
        <f t="shared" si="34"/>
        <v>437.74</v>
      </c>
      <c r="AE257" s="31">
        <f t="shared" si="34"/>
        <v>838.81999999999994</v>
      </c>
      <c r="AF257" s="26">
        <f t="shared" si="34"/>
        <v>-401.07999999999993</v>
      </c>
      <c r="AG257" s="33">
        <f t="shared" si="34"/>
        <v>36.478333333333332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34"/>
        <v>Patativa Celeste FC</v>
      </c>
      <c r="Y258" s="19">
        <f t="shared" si="34"/>
        <v>5</v>
      </c>
      <c r="Z258" s="19">
        <f t="shared" si="34"/>
        <v>12</v>
      </c>
      <c r="AA258" s="19">
        <f t="shared" si="34"/>
        <v>1</v>
      </c>
      <c r="AB258" s="19">
        <f t="shared" si="34"/>
        <v>2</v>
      </c>
      <c r="AC258" s="19">
        <f t="shared" si="34"/>
        <v>9</v>
      </c>
      <c r="AD258" s="19">
        <f t="shared" si="34"/>
        <v>405.51</v>
      </c>
      <c r="AE258" s="19">
        <f t="shared" si="34"/>
        <v>996.91</v>
      </c>
      <c r="AF258" s="27">
        <f t="shared" si="34"/>
        <v>-591.4</v>
      </c>
      <c r="AG258" s="34">
        <f t="shared" si="34"/>
        <v>33.792499999999997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zoomScale="75" zoomScaleNormal="75" workbookViewId="0">
      <selection activeCell="D18" sqref="D18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2</v>
      </c>
      <c r="J3" s="50"/>
    </row>
    <row r="4" spans="1:10" ht="18.75" x14ac:dyDescent="0.25">
      <c r="A4" s="58" t="s">
        <v>96</v>
      </c>
      <c r="B4" s="2" t="s">
        <v>95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85</v>
      </c>
      <c r="B6" s="2" t="s">
        <v>84</v>
      </c>
      <c r="C6" s="2">
        <v>2</v>
      </c>
      <c r="J6" s="50"/>
    </row>
    <row r="7" spans="1:10" ht="18.75" x14ac:dyDescent="0.25">
      <c r="A7" s="58" t="s">
        <v>98</v>
      </c>
      <c r="B7" s="2" t="s">
        <v>97</v>
      </c>
      <c r="C7" s="2">
        <v>2</v>
      </c>
      <c r="J7" s="50"/>
    </row>
    <row r="8" spans="1:10" ht="18.75" x14ac:dyDescent="0.25">
      <c r="A8" s="58" t="s">
        <v>73</v>
      </c>
      <c r="B8" s="2" t="s">
        <v>74</v>
      </c>
      <c r="C8" s="2">
        <v>2</v>
      </c>
      <c r="J8" s="50"/>
    </row>
    <row r="9" spans="1:10" ht="18.75" x14ac:dyDescent="0.25">
      <c r="A9" s="58" t="s">
        <v>89</v>
      </c>
      <c r="B9" s="71" t="s">
        <v>88</v>
      </c>
      <c r="C9" s="2">
        <v>0</v>
      </c>
      <c r="J9" s="50"/>
    </row>
    <row r="10" spans="1:10" ht="18.75" x14ac:dyDescent="0.25">
      <c r="A10" s="58" t="s">
        <v>78</v>
      </c>
      <c r="B10" s="2" t="s">
        <v>77</v>
      </c>
      <c r="C10" s="2">
        <v>0</v>
      </c>
      <c r="J10" s="50"/>
    </row>
    <row r="11" spans="1:10" ht="18.75" x14ac:dyDescent="0.25">
      <c r="A11" s="58" t="s">
        <v>83</v>
      </c>
      <c r="B11" s="2" t="s">
        <v>68</v>
      </c>
      <c r="C11" s="2">
        <v>0</v>
      </c>
      <c r="J11" s="50"/>
    </row>
    <row r="12" spans="1:10" ht="18.75" x14ac:dyDescent="0.25">
      <c r="A12" s="58" t="s">
        <v>72</v>
      </c>
      <c r="B12" s="2" t="s">
        <v>71</v>
      </c>
      <c r="C12" s="2">
        <v>0</v>
      </c>
      <c r="J12" s="50"/>
    </row>
    <row r="13" spans="1:10" ht="18.75" x14ac:dyDescent="0.25">
      <c r="A13" s="58" t="s">
        <v>80</v>
      </c>
      <c r="B13" s="2" t="s">
        <v>79</v>
      </c>
      <c r="C13" s="2">
        <v>3</v>
      </c>
      <c r="J13" s="50"/>
    </row>
    <row r="14" spans="1:10" ht="18.75" x14ac:dyDescent="0.25">
      <c r="A14" s="58" t="s">
        <v>75</v>
      </c>
      <c r="B14" s="2" t="s">
        <v>76</v>
      </c>
      <c r="C14" s="2">
        <v>0</v>
      </c>
      <c r="J14" s="50"/>
    </row>
    <row r="15" spans="1:10" ht="18.75" x14ac:dyDescent="0.25">
      <c r="A15" s="58" t="s">
        <v>100</v>
      </c>
      <c r="B15" s="2" t="s">
        <v>99</v>
      </c>
      <c r="C15" s="2">
        <v>5</v>
      </c>
      <c r="J15" s="50"/>
    </row>
    <row r="16" spans="1:10" ht="18.75" x14ac:dyDescent="0.25">
      <c r="A16" s="58" t="s">
        <v>63</v>
      </c>
      <c r="B16" s="2" t="s">
        <v>62</v>
      </c>
      <c r="C16" s="2">
        <v>2</v>
      </c>
      <c r="J16" s="50"/>
    </row>
    <row r="17" spans="1:10" ht="18.75" x14ac:dyDescent="0.25">
      <c r="A17" s="58" t="s">
        <v>91</v>
      </c>
      <c r="B17" s="2" t="s">
        <v>90</v>
      </c>
      <c r="C17" s="2">
        <v>0</v>
      </c>
      <c r="J17" s="50"/>
    </row>
    <row r="18" spans="1:10" ht="18.75" x14ac:dyDescent="0.25">
      <c r="A18" s="58" t="s">
        <v>66</v>
      </c>
      <c r="B18" s="2" t="s">
        <v>92</v>
      </c>
      <c r="C18" s="2">
        <v>0</v>
      </c>
      <c r="J18" s="50"/>
    </row>
    <row r="19" spans="1:10" ht="18.75" x14ac:dyDescent="0.25">
      <c r="A19" s="58" t="s">
        <v>87</v>
      </c>
      <c r="B19" s="2" t="s">
        <v>86</v>
      </c>
      <c r="C19" s="2">
        <v>0</v>
      </c>
      <c r="J19" s="50"/>
    </row>
    <row r="20" spans="1:10" ht="18.75" x14ac:dyDescent="0.25">
      <c r="A20" s="58" t="s">
        <v>94</v>
      </c>
      <c r="B20" s="2" t="s">
        <v>93</v>
      </c>
      <c r="C20" s="2">
        <v>0</v>
      </c>
      <c r="J20" s="50"/>
    </row>
    <row r="21" spans="1:10" ht="18.75" x14ac:dyDescent="0.25">
      <c r="A21" s="58" t="s">
        <v>82</v>
      </c>
      <c r="B21" s="2" t="s">
        <v>81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2026-10-20T14:59:45Z</dcterms:modified>
</cp:coreProperties>
</file>