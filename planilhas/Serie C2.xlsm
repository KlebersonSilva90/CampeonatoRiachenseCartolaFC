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52C9281E-AB04-4029-B41D-1AB8EFE4E7BB}" xr6:coauthVersionLast="47" xr6:coauthVersionMax="47" xr10:uidLastSave="{00000000-0000-0000-0000-000000000000}"/>
  <bookViews>
    <workbookView xWindow="20370" yWindow="-120" windowWidth="29040" windowHeight="15840" tabRatio="582" activeTab="1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A89" i="3" s="1"/>
  <c r="B89" i="3" s="1"/>
  <c r="Q88" i="3"/>
  <c r="P88" i="3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A79" i="3" s="1"/>
  <c r="B79" i="3" s="1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AE15" i="3" s="1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5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D22" i="3" l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9" i="3"/>
  <c r="A30" i="3"/>
  <c r="B30" i="3" s="1"/>
  <c r="A35" i="3"/>
  <c r="B35" i="3" s="1"/>
  <c r="A36" i="3"/>
  <c r="B36" i="3" s="1"/>
  <c r="AD17" i="3"/>
  <c r="A31" i="3"/>
  <c r="B31" i="3" s="1"/>
  <c r="A34" i="3"/>
  <c r="B34" i="3" s="1"/>
  <c r="A22" i="3"/>
  <c r="B22" i="3" s="1"/>
  <c r="A10" i="3"/>
  <c r="B10" i="3" s="1"/>
  <c r="AE9" i="3"/>
  <c r="AE20" i="3"/>
  <c r="AE10" i="3"/>
  <c r="AE11" i="3"/>
  <c r="AD11" i="3"/>
  <c r="A226" i="3"/>
  <c r="B226" i="3" s="1"/>
  <c r="AD21" i="3"/>
  <c r="AD258" i="3" s="1"/>
  <c r="AD19" i="3"/>
  <c r="AE12" i="3"/>
  <c r="AD10" i="3"/>
  <c r="AE21" i="3"/>
  <c r="A5" i="3"/>
  <c r="B5" i="3" s="1"/>
  <c r="AD3" i="3"/>
  <c r="AF3" i="3" s="1"/>
  <c r="AD12" i="3"/>
  <c r="AD13" i="3"/>
  <c r="AE18" i="3"/>
  <c r="A17" i="3"/>
  <c r="B17" i="3" s="1"/>
  <c r="AC8" i="3" s="1"/>
  <c r="AE13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2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18" i="3"/>
  <c r="AE7" i="3"/>
  <c r="AE6" i="3"/>
  <c r="AE16" i="3"/>
  <c r="AE19" i="3"/>
  <c r="AD8" i="3"/>
  <c r="AE17" i="3"/>
  <c r="AD4" i="3"/>
  <c r="A15" i="3"/>
  <c r="B15" i="3" s="1"/>
  <c r="AC17" i="3" s="1"/>
  <c r="AD6" i="3"/>
  <c r="A4" i="3"/>
  <c r="B4" i="3" s="1"/>
  <c r="AD16" i="3"/>
  <c r="AD20" i="3"/>
  <c r="A8" i="3"/>
  <c r="B8" i="3" s="1"/>
  <c r="AE14" i="3"/>
  <c r="AE4" i="3"/>
  <c r="AD5" i="3"/>
  <c r="A16" i="3"/>
  <c r="B16" i="3" s="1"/>
  <c r="AB18" i="3" s="1"/>
  <c r="AE8" i="3"/>
  <c r="AD7" i="3"/>
  <c r="AC6" i="3"/>
  <c r="AB6" i="3"/>
  <c r="AA6" i="3"/>
  <c r="AB17" i="3"/>
  <c r="AA17" i="3"/>
  <c r="AA8" i="3"/>
  <c r="AC3" i="3"/>
  <c r="AB3" i="3"/>
  <c r="AA3" i="3"/>
  <c r="A6" i="3"/>
  <c r="B6" i="3" s="1"/>
  <c r="A18" i="3"/>
  <c r="B18" i="3" s="1"/>
  <c r="A3" i="3"/>
  <c r="B3" i="3" s="1"/>
  <c r="A7" i="3"/>
  <c r="B7" i="3" s="1"/>
  <c r="AD14" i="3"/>
  <c r="A11" i="3"/>
  <c r="B11" i="3" s="1"/>
  <c r="AF15" i="3"/>
  <c r="A213" i="3"/>
  <c r="B213" i="3" s="1"/>
  <c r="AB16" i="3" s="1"/>
  <c r="A215" i="3"/>
  <c r="B215" i="3" s="1"/>
  <c r="AA12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2" i="3" s="1"/>
  <c r="A204" i="3"/>
  <c r="B204" i="3" s="1"/>
  <c r="A208" i="3"/>
  <c r="B208" i="3" s="1"/>
  <c r="AC18" i="3" s="1"/>
  <c r="A210" i="3"/>
  <c r="B210" i="3" s="1"/>
  <c r="A212" i="3"/>
  <c r="B212" i="3" s="1"/>
  <c r="A214" i="3"/>
  <c r="B214" i="3" s="1"/>
  <c r="A216" i="3"/>
  <c r="B216" i="3" s="1"/>
  <c r="A220" i="3"/>
  <c r="B220" i="3" s="1"/>
  <c r="AA21" i="3" s="1"/>
  <c r="A222" i="3"/>
  <c r="B222" i="3" s="1"/>
  <c r="A225" i="3"/>
  <c r="B225" i="3" s="1"/>
  <c r="AC14" i="3" s="1"/>
  <c r="AC13" i="3" l="1"/>
  <c r="AF17" i="3"/>
  <c r="AE248" i="3"/>
  <c r="AD256" i="3"/>
  <c r="AF9" i="3"/>
  <c r="AD242" i="3"/>
  <c r="AF20" i="3"/>
  <c r="AD255" i="3"/>
  <c r="AD239" i="3"/>
  <c r="AE239" i="3"/>
  <c r="AD257" i="3"/>
  <c r="AF22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2" i="3"/>
  <c r="AF19" i="3"/>
  <c r="AD241" i="3"/>
  <c r="AE242" i="3"/>
  <c r="AD244" i="3"/>
  <c r="AF4" i="3"/>
  <c r="AF21" i="3"/>
  <c r="AF18" i="3"/>
  <c r="AF11" i="3"/>
  <c r="AE250" i="3"/>
  <c r="AF13" i="3"/>
  <c r="AC15" i="3"/>
  <c r="AA10" i="3"/>
  <c r="AD249" i="3"/>
  <c r="AA13" i="3"/>
  <c r="AE243" i="3"/>
  <c r="AF7" i="3"/>
  <c r="AB8" i="3"/>
  <c r="Y8" i="3" s="1"/>
  <c r="AB13" i="3"/>
  <c r="AF10" i="3"/>
  <c r="AA18" i="3"/>
  <c r="AF16" i="3"/>
  <c r="AE251" i="3"/>
  <c r="AD240" i="3"/>
  <c r="AE257" i="3"/>
  <c r="AE253" i="3"/>
  <c r="AE240" i="3"/>
  <c r="AF8" i="3"/>
  <c r="AE245" i="3"/>
  <c r="AF6" i="3"/>
  <c r="AE258" i="3"/>
  <c r="AE244" i="3"/>
  <c r="AE256" i="3"/>
  <c r="AB10" i="3"/>
  <c r="AA11" i="3"/>
  <c r="AB21" i="3"/>
  <c r="AA15" i="3"/>
  <c r="AB11" i="3"/>
  <c r="AA14" i="3"/>
  <c r="AC16" i="3"/>
  <c r="AA22" i="3"/>
  <c r="AC5" i="3"/>
  <c r="AC10" i="3"/>
  <c r="AB15" i="3"/>
  <c r="AC11" i="3"/>
  <c r="AB14" i="3"/>
  <c r="Y6" i="3"/>
  <c r="Z6" i="3"/>
  <c r="AB12" i="3"/>
  <c r="AA5" i="3"/>
  <c r="AD246" i="3"/>
  <c r="AF14" i="3"/>
  <c r="AB9" i="3"/>
  <c r="AA9" i="3"/>
  <c r="AC9" i="3"/>
  <c r="AC21" i="3"/>
  <c r="AA19" i="3"/>
  <c r="AC19" i="3"/>
  <c r="AB19" i="3"/>
  <c r="Z3" i="3"/>
  <c r="Y3" i="3"/>
  <c r="Z17" i="3"/>
  <c r="Y17" i="3"/>
  <c r="AA16" i="3"/>
  <c r="AC12" i="3"/>
  <c r="AB22" i="3"/>
  <c r="AC4" i="3"/>
  <c r="AB4" i="3"/>
  <c r="AA4" i="3"/>
  <c r="AC7" i="3"/>
  <c r="AC253" i="3" s="1"/>
  <c r="AB7" i="3"/>
  <c r="AA7" i="3"/>
  <c r="AC20" i="3"/>
  <c r="AB20" i="3"/>
  <c r="AA20" i="3"/>
  <c r="AC256" i="3" l="1"/>
  <c r="AF254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8" i="3"/>
  <c r="AG8" i="3" s="1"/>
  <c r="AF252" i="3"/>
  <c r="AF242" i="3"/>
  <c r="AF244" i="3"/>
  <c r="Y13" i="3"/>
  <c r="AB251" i="3"/>
  <c r="AA249" i="3"/>
  <c r="AC247" i="3"/>
  <c r="AB247" i="3"/>
  <c r="AC252" i="3"/>
  <c r="AB239" i="3"/>
  <c r="AB248" i="3"/>
  <c r="AA248" i="3"/>
  <c r="AA250" i="3"/>
  <c r="AA243" i="3"/>
  <c r="AC242" i="3"/>
  <c r="Z13" i="3"/>
  <c r="AG13" i="3" s="1"/>
  <c r="AA240" i="3"/>
  <c r="AF243" i="3"/>
  <c r="AF241" i="3"/>
  <c r="AB242" i="3"/>
  <c r="AF257" i="3"/>
  <c r="AC239" i="3"/>
  <c r="AC251" i="3"/>
  <c r="Z18" i="3"/>
  <c r="AG18" i="3" s="1"/>
  <c r="AF245" i="3"/>
  <c r="Y18" i="3"/>
  <c r="AB250" i="3"/>
  <c r="AB240" i="3"/>
  <c r="AC245" i="3"/>
  <c r="AC250" i="3"/>
  <c r="AB246" i="3"/>
  <c r="AF256" i="3"/>
  <c r="AB254" i="3"/>
  <c r="AC246" i="3"/>
  <c r="AB256" i="3"/>
  <c r="Y10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4" i="3"/>
  <c r="Y4" i="3"/>
  <c r="Y12" i="3"/>
  <c r="Z10" i="3"/>
  <c r="AA244" i="3"/>
  <c r="Z16" i="3"/>
  <c r="Y16" i="3"/>
  <c r="AA242" i="3"/>
  <c r="Z9" i="3"/>
  <c r="Y9" i="3"/>
  <c r="AA247" i="3"/>
  <c r="Z5" i="3"/>
  <c r="Y5" i="3"/>
  <c r="AA246" i="3"/>
  <c r="Z14" i="3"/>
  <c r="Y14" i="3"/>
  <c r="Z12" i="3"/>
  <c r="Y21" i="3"/>
  <c r="AA257" i="3"/>
  <c r="Y7" i="3"/>
  <c r="Z7" i="3"/>
  <c r="AG3" i="3"/>
  <c r="AA251" i="3"/>
  <c r="Z19" i="3"/>
  <c r="Y19" i="3"/>
  <c r="AA241" i="3"/>
  <c r="Y15" i="3"/>
  <c r="Z15" i="3"/>
  <c r="Y11" i="3"/>
  <c r="Z21" i="3"/>
  <c r="AA245" i="3"/>
  <c r="Y20" i="3"/>
  <c r="Z20" i="3"/>
  <c r="AG17" i="3"/>
  <c r="AG6" i="3"/>
  <c r="AA239" i="3"/>
  <c r="Z22" i="3"/>
  <c r="Y22" i="3"/>
  <c r="Z11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1" i="3"/>
  <c r="Z251" i="3"/>
  <c r="AG19" i="3"/>
  <c r="Z257" i="3"/>
  <c r="AG7" i="3"/>
  <c r="Z255" i="3"/>
  <c r="AG12" i="3"/>
  <c r="Z242" i="3"/>
  <c r="AG9" i="3"/>
  <c r="Z258" i="3"/>
  <c r="AG4" i="3"/>
  <c r="Z245" i="3"/>
  <c r="AG20" i="3"/>
  <c r="Z247" i="3"/>
  <c r="AG5" i="3"/>
  <c r="Z250" i="3"/>
  <c r="AG10" i="3"/>
  <c r="Z241" i="3"/>
  <c r="AG15" i="3"/>
  <c r="Z246" i="3"/>
  <c r="AG14" i="3"/>
  <c r="Z240" i="3"/>
  <c r="AG11" i="3"/>
  <c r="Z239" i="3"/>
  <c r="AG22" i="3"/>
  <c r="AG239" i="3" s="1"/>
  <c r="Z244" i="3"/>
  <c r="AG16" i="3"/>
  <c r="AG255" i="3" l="1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<sst xmlns="http://schemas.openxmlformats.org/spreadsheetml/2006/main" count="1157" uniqueCount="101">
  <si>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</si>
  <si>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</si>
  <si>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</si>
  <si>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</si>
  <si>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</si>
  <si>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</si>
  <si>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</si>
  <si>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</si>
  <si>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</si>
  <si>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</si>
  <si>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</si>
  <si>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</si>
  <si>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</si>
  <si>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</si>
  <si>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</si>
  <si>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</si>
  <si>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</si>
  <si>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</si>
  <si>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</si>
  <si>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</si>
  <si>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</si>
  <si>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</si>
  <si>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</si>
  <si>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</si>
  <si>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</si>
  <si>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</si>
  <si>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</si>
  <si>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</si>
  <si>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</si>
  <si>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</si>
  <si>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</si>
  <si>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</si>
  <si>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</si>
  <si>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</si>
  <si>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</si>
  <si>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</si>
  <si>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</si>
  <si>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</si>
  <si>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</si>
  <si>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</si>
  <si>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</si>
  <si>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</si>
  <si>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</si>
  <si>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</si>
  <si>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</si>
  <si>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</si>
  <si>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</si>
  <si>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</si>
  <si>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</si>
  <si>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</si>
  <si>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</si>
  <si>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</si>
  <si>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</si>
  <si>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</si>
  <si>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</si>
  <si>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</si>
  <si>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</si>
  <si>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</si>
  <si>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</si>
  <si>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</si>
  <si>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</si>
  <si>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</si>
  <si>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</si>
  <si>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</si>
  <si>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</si>
  <si>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</si>
  <si>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</si>
  <si>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</si>
  <si>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</si>
  <si>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</si>
  <si>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</si>
  <si>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</si>
  <si>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</si>
  <si>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</si>
  <si>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</si>
  <si>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</si>
  <si>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</si>
  <si>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</si>
  <si>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</si>
  <si>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</si>
  <si>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</si>
  <si>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</si>
  <si>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</si>
  <si>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</si>
  <si>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</si>
  <si>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</si>
  <si>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</si>
  <si>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</si>
  <si>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</si>
  <si>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</si>
  <si>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</si>
  <si>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</si>
  <si>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</si>
  <si>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</si>
  <si>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</si>
  <si>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</si>
  <si>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</si>
  <si>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</si>
  <si>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</si>
  <si>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</si>
  <si>
    <t>Wake Wake Fc98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</si>
</sst>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11105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zoomScale="75" zoomScaleNormal="75" workbookViewId="0">
      <selection activeCell="K4" sqref="K4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85546875" style="17" bestFit="1" customWidth="1"/>
    <col min="9" max="9" width="2.85546875" style="17" bestFit="1" customWidth="1"/>
    <col min="10" max="10" width="9.8554687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86</v>
      </c>
      <c r="G3" s="2" t="s">
        <v>85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82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91</v>
      </c>
      <c r="Y3" s="38">
        <f>SUM((AA3*3)+AB3)</f>
        <v>13</v>
      </c>
      <c r="Z3" s="38">
        <f>SUM(AA3+AB3+AC3)</f>
        <v>5</v>
      </c>
      <c r="AA3" s="38">
        <f>COUNTIFS($G$3:$G$228,X3,$B$3:$B$228,"V")+COUNTIFS($K$3:$K$228,X3,$P$3:$P$228,"V")</f>
        <v>4</v>
      </c>
      <c r="AB3" s="38">
        <f>COUNTIFS($G$3:$G$228,X3,$B$3:$B$228,"E",$H$3:$H$228,"&lt;&gt;"&amp;"")+COUNTIFS($K$3:$K$228,X3,$P$3:$P$228,"E",$J$3:$J$228,"&lt;&gt;"&amp;"")</f>
        <v>1</v>
      </c>
      <c r="AC3" s="38">
        <f>COUNTIFS($G$3:$G$228,X3,$B$3:$B$228,"D")+COUNTIFS($K$3:$K$228,X3,$P$3:$P$228,"D")</f>
        <v>0</v>
      </c>
      <c r="AD3" s="38">
        <f>SUMIFS($C$3:$C$228,$G$3:$G$228,X3)+SUMIFS($O$3:$O$228,$K$3:$K$228,X3)</f>
        <v>522.25</v>
      </c>
      <c r="AE3" s="38">
        <f>SUMIFS($D$3:$D$228,$G$3:$G$228,X3)+SUMIFS($N$3:$N$228,$K$3:$K$228,X3)</f>
        <v>393.75</v>
      </c>
      <c r="AF3" s="38">
        <f>SUM(AD3-AE3)</f>
        <v>128.5</v>
      </c>
      <c r="AG3" s="20">
        <f>SUM(AD3/Z3)</f>
        <v>104.45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100</v>
      </c>
      <c r="L4" s="58" t="s">
        <v>71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92</v>
      </c>
      <c r="Y4" s="60">
        <f>SUM((AA4*3)+AB4)</f>
        <v>13</v>
      </c>
      <c r="Z4" s="60">
        <f>SUM(AA4+AB4+AC4)</f>
        <v>5</v>
      </c>
      <c r="AA4" s="61">
        <f>COUNTIFS($G$3:$G$228,X4,$B$3:$B$228,"V")+COUNTIFS($K$3:$K$228,X4,$P$3:$P$228,"V")</f>
        <v>4</v>
      </c>
      <c r="AB4" s="61">
        <f>COUNTIFS($G$3:$G$228,X4,$B$3:$B$228,"E",$H$3:$H$228,"&lt;&gt;"&amp;"")+COUNTIFS($K$3:$K$228,X4,$P$3:$P$228,"E",$J$3:$J$228,"&lt;&gt;"&amp;"")</f>
        <v>1</v>
      </c>
      <c r="AC4" s="61">
        <f>COUNTIFS($G$3:$G$228,X4,$B$3:$B$228,"D")+COUNTIFS($K$3:$K$228,X4,$P$3:$P$228,"D")</f>
        <v>0</v>
      </c>
      <c r="AD4" s="61">
        <f>SUMIFS($C$3:$C$228,$G$3:$G$228,X4)+SUMIFS($O$3:$O$228,$K$3:$K$228,X4)</f>
        <v>428.96</v>
      </c>
      <c r="AE4" s="61">
        <f>SUMIFS($D$3:$D$228,$G$3:$G$228,X4)+SUMIFS($N$3:$N$228,$K$3:$K$228,X4)</f>
        <v>317</v>
      </c>
      <c r="AF4" s="60">
        <f>SUM(AD4-AE4)</f>
        <v>111.95999999999998</v>
      </c>
      <c r="AG4" s="21">
        <f>SUM(AD4/Z4)</f>
        <v>85.792000000000002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98</v>
      </c>
      <c r="L5" s="58" t="s">
        <v>99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12</v>
      </c>
      <c r="Z5" s="60">
        <f>SUM(AA5+AB5+AC5)</f>
        <v>5</v>
      </c>
      <c r="AA5" s="61">
        <f>COUNTIFS($G$3:$G$228,X5,$B$3:$B$228,"V")+COUNTIFS($K$3:$K$228,X5,$P$3:$P$228,"V")</f>
        <v>4</v>
      </c>
      <c r="AB5" s="61">
        <f>COUNTIFS($G$3:$G$228,X5,$B$3:$B$228,"E",$H$3:$H$228,"&lt;&gt;"&amp;"")+COUNTIFS($K$3:$K$228,X5,$P$3:$P$228,"E",$J$3:$J$228,"&lt;&gt;"&amp;"")</f>
        <v>0</v>
      </c>
      <c r="AC5" s="61">
        <f>COUNTIFS($G$3:$G$228,X5,$B$3:$B$228,"D")+COUNTIFS($K$3:$K$228,X5,$P$3:$P$228,"D")</f>
        <v>1</v>
      </c>
      <c r="AD5" s="61">
        <f>SUMIFS($C$3:$C$228,$G$3:$G$228,X5)+SUMIFS($O$3:$O$228,$K$3:$K$228,X5)</f>
        <v>481.71000000000004</v>
      </c>
      <c r="AE5" s="61">
        <f>SUMIFS($D$3:$D$228,$G$3:$G$228,X5)+SUMIFS($N$3:$N$228,$K$3:$K$228,X5)</f>
        <v>381.04999999999995</v>
      </c>
      <c r="AF5" s="76">
        <f>SUM(AD5-AE5)</f>
        <v>100.66000000000008</v>
      </c>
      <c r="AG5" s="21">
        <f>SUM(AD5/Z5)</f>
        <v>96.342000000000013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72</v>
      </c>
      <c r="G6" s="2" t="s">
        <v>73</v>
      </c>
      <c r="H6" s="74">
        <v>105.71</v>
      </c>
      <c r="I6" s="2" t="s">
        <v>52</v>
      </c>
      <c r="J6" s="67">
        <v>44.58</v>
      </c>
      <c r="K6" s="2" t="s">
        <v>89</v>
      </c>
      <c r="L6" s="58" t="s">
        <v>90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68</v>
      </c>
      <c r="Y6" s="39">
        <f>SUM((AA6*3)+AB6)</f>
        <v>12</v>
      </c>
      <c r="Z6" s="39">
        <f>SUM(AA6+AB6+AC6)</f>
        <v>5</v>
      </c>
      <c r="AA6" s="40">
        <f>COUNTIFS($G$3:$G$228,X6,$B$3:$B$228,"V")+COUNTIFS($K$3:$K$228,X6,$P$3:$P$228,"V")</f>
        <v>4</v>
      </c>
      <c r="AB6" s="40">
        <f>COUNTIFS($G$3:$G$228,X6,$B$3:$B$228,"E",$H$3:$H$228,"&lt;&gt;"&amp;"")+COUNTIFS($K$3:$K$228,X6,$P$3:$P$228,"E",$J$3:$J$228,"&lt;&gt;"&amp;"")</f>
        <v>0</v>
      </c>
      <c r="AC6" s="40">
        <f>COUNTIFS($G$3:$G$228,X6,$B$3:$B$228,"D")+COUNTIFS($K$3:$K$228,X6,$P$3:$P$228,"D")</f>
        <v>1</v>
      </c>
      <c r="AD6" s="40">
        <f>SUMIFS($C$3:$C$228,$G$3:$G$228,X6)+SUMIFS($O$3:$O$228,$K$3:$K$228,X6)</f>
        <v>494.79999999999995</v>
      </c>
      <c r="AE6" s="40">
        <f>SUMIFS($D$3:$D$228,$G$3:$G$228,X6)+SUMIFS($N$3:$N$228,$K$3:$K$228,X6)</f>
        <v>419.46</v>
      </c>
      <c r="AF6" s="39">
        <f>SUM(AD6-AE6)</f>
        <v>75.339999999999975</v>
      </c>
      <c r="AG6" s="21">
        <f>SUM(AD6/Z6)</f>
        <v>98.96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74</v>
      </c>
      <c r="G7" s="2" t="s">
        <v>75</v>
      </c>
      <c r="H7" s="67">
        <v>66.75</v>
      </c>
      <c r="I7" s="2" t="s">
        <v>52</v>
      </c>
      <c r="J7" s="74">
        <v>104.51</v>
      </c>
      <c r="K7" s="2" t="s">
        <v>76</v>
      </c>
      <c r="L7" s="58" t="s">
        <v>77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89</v>
      </c>
      <c r="Y7" s="39">
        <f>SUM((AA7*3)+AB7)</f>
        <v>10</v>
      </c>
      <c r="Z7" s="39">
        <f>SUM(AA7+AB7+AC7)</f>
        <v>5</v>
      </c>
      <c r="AA7" s="40">
        <f>COUNTIFS($G$3:$G$228,X7,$B$3:$B$228,"V")+COUNTIFS($K$3:$K$228,X7,$P$3:$P$228,"V")</f>
        <v>3</v>
      </c>
      <c r="AB7" s="40">
        <f>COUNTIFS($G$3:$G$228,X7,$B$3:$B$228,"E",$H$3:$H$228,"&lt;&gt;"&amp;"")+COUNTIFS($K$3:$K$228,X7,$P$3:$P$228,"E",$J$3:$J$228,"&lt;&gt;"&amp;"")</f>
        <v>1</v>
      </c>
      <c r="AC7" s="40">
        <f>COUNTIFS($G$3:$G$228,X7,$B$3:$B$228,"D")+COUNTIFS($K$3:$K$228,X7,$P$3:$P$228,"D")</f>
        <v>1</v>
      </c>
      <c r="AD7" s="40">
        <f>SUMIFS($C$3:$C$228,$G$3:$G$228,X7)+SUMIFS($O$3:$O$228,$K$3:$K$228,X7)</f>
        <v>418.08</v>
      </c>
      <c r="AE7" s="40">
        <f>SUMIFS($D$3:$D$228,$G$3:$G$228,X7)+SUMIFS($N$3:$N$228,$K$3:$K$228,X7)</f>
        <v>283.52999999999997</v>
      </c>
      <c r="AF7" s="39">
        <f>SUM(AD7-AE7)</f>
        <v>134.55000000000001</v>
      </c>
      <c r="AG7" s="21">
        <f>SUM(AD7/Z7)</f>
        <v>83.616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91</v>
      </c>
      <c r="H8" s="74">
        <v>120.61</v>
      </c>
      <c r="I8" s="2" t="s">
        <v>52</v>
      </c>
      <c r="J8" s="67">
        <v>87.57</v>
      </c>
      <c r="K8" s="2" t="s">
        <v>96</v>
      </c>
      <c r="L8" s="58" t="s">
        <v>97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94</v>
      </c>
      <c r="Y8" s="39">
        <f>SUM((AA8*3)+AB8)</f>
        <v>9</v>
      </c>
      <c r="Z8" s="39">
        <f>SUM(AA8+AB8+AC8)</f>
        <v>5</v>
      </c>
      <c r="AA8" s="40">
        <f>COUNTIFS($G$3:$G$228,X8,$B$3:$B$228,"V")+COUNTIFS($K$3:$K$228,X8,$P$3:$P$228,"V")</f>
        <v>2</v>
      </c>
      <c r="AB8" s="40">
        <f>COUNTIFS($G$3:$G$228,X8,$B$3:$B$228,"E",$H$3:$H$228,"&lt;&gt;"&amp;"")+COUNTIFS($K$3:$K$228,X8,$P$3:$P$228,"E",$J$3:$J$228,"&lt;&gt;"&amp;"")</f>
        <v>3</v>
      </c>
      <c r="AC8" s="40">
        <f>COUNTIFS($G$3:$G$228,X8,$B$3:$B$228,"D")+COUNTIFS($K$3:$K$228,X8,$P$3:$P$228,"D")</f>
        <v>0</v>
      </c>
      <c r="AD8" s="40">
        <f>SUMIFS($C$3:$C$228,$G$3:$G$228,X8)+SUMIFS($O$3:$O$228,$K$3:$K$228,X8)</f>
        <v>426.97</v>
      </c>
      <c r="AE8" s="40">
        <f>SUMIFS($D$3:$D$228,$G$3:$G$228,X8)+SUMIFS($N$3:$N$228,$K$3:$K$228,X8)</f>
        <v>344.93</v>
      </c>
      <c r="AF8" s="60">
        <f>SUM(AD8-AE8)</f>
        <v>82.04000000000002</v>
      </c>
      <c r="AG8" s="21">
        <f>SUM(AD8/Z8)</f>
        <v>85.394000000000005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87</v>
      </c>
      <c r="L9" s="58" t="s">
        <v>88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85</v>
      </c>
      <c r="Y9" s="60">
        <f>SUM((AA9*3)+AB9)</f>
        <v>8</v>
      </c>
      <c r="Z9" s="60">
        <f>SUM(AA9+AB9+AC9)</f>
        <v>5</v>
      </c>
      <c r="AA9" s="61">
        <f>COUNTIFS($G$3:$G$228,X9,$B$3:$B$228,"V")+COUNTIFS($K$3:$K$228,X9,$P$3:$P$228,"V")</f>
        <v>2</v>
      </c>
      <c r="AB9" s="61">
        <f>COUNTIFS($G$3:$G$228,X9,$B$3:$B$228,"E",$H$3:$H$228,"&lt;&gt;"&amp;"")+COUNTIFS($K$3:$K$228,X9,$P$3:$P$228,"E",$J$3:$J$228,"&lt;&gt;"&amp;"")</f>
        <v>2</v>
      </c>
      <c r="AC9" s="61">
        <f>COUNTIFS($G$3:$G$228,X9,$B$3:$B$228,"D")+COUNTIFS($K$3:$K$228,X9,$P$3:$P$228,"D")</f>
        <v>1</v>
      </c>
      <c r="AD9" s="61">
        <f>SUMIFS($C$3:$C$228,$G$3:$G$228,X9)+SUMIFS($O$3:$O$228,$K$3:$K$228,X9)</f>
        <v>425.53999999999996</v>
      </c>
      <c r="AE9" s="61">
        <f>SUMIFS($D$3:$D$228,$G$3:$G$228,X9)+SUMIFS($N$3:$N$228,$K$3:$K$228,X9)</f>
        <v>435.08000000000004</v>
      </c>
      <c r="AF9" s="60">
        <f>SUM(AD9-AE9)</f>
        <v>-9.5400000000000773</v>
      </c>
      <c r="AG9" s="21">
        <f>SUM(AD9/Z9)</f>
        <v>85.10799999999999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79</v>
      </c>
      <c r="G10" s="2" t="s">
        <v>78</v>
      </c>
      <c r="H10" s="67">
        <v>46.48</v>
      </c>
      <c r="I10" s="2" t="s">
        <v>52</v>
      </c>
      <c r="J10" s="74">
        <v>108.45</v>
      </c>
      <c r="K10" s="2" t="s">
        <v>80</v>
      </c>
      <c r="L10" s="58" t="s">
        <v>81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76</v>
      </c>
      <c r="Y10" s="39">
        <f>SUM((AA10*3)+AB10)</f>
        <v>7</v>
      </c>
      <c r="Z10" s="39">
        <f>SUM(AA10+AB10+AC10)</f>
        <v>5</v>
      </c>
      <c r="AA10" s="40">
        <f>COUNTIFS($G$3:$G$228,X10,$B$3:$B$228,"V")+COUNTIFS($K$3:$K$228,X10,$P$3:$P$228,"V")</f>
        <v>2</v>
      </c>
      <c r="AB10" s="40">
        <f>COUNTIFS($G$3:$G$228,X10,$B$3:$B$228,"E",$H$3:$H$228,"&lt;&gt;"&amp;"")+COUNTIFS($K$3:$K$228,X10,$P$3:$P$228,"E",$J$3:$J$228,"&lt;&gt;"&amp;"")</f>
        <v>1</v>
      </c>
      <c r="AC10" s="40">
        <f>COUNTIFS($G$3:$G$228,X10,$B$3:$B$228,"D")+COUNTIFS($K$3:$K$228,X10,$P$3:$P$228,"D")</f>
        <v>2</v>
      </c>
      <c r="AD10" s="40">
        <f>SUMIFS($C$3:$C$228,$G$3:$G$228,X10)+SUMIFS($O$3:$O$228,$K$3:$K$228,X10)</f>
        <v>426.94000000000005</v>
      </c>
      <c r="AE10" s="40">
        <f>SUMIFS($D$3:$D$228,$G$3:$G$228,X10)+SUMIFS($N$3:$N$228,$K$3:$K$228,X10)</f>
        <v>386.56</v>
      </c>
      <c r="AF10" s="39">
        <f>SUM(AD10-AE10)</f>
        <v>40.380000000000052</v>
      </c>
      <c r="AG10" s="21">
        <f>SUM(AD10/Z10)</f>
        <v>85.388000000000005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93</v>
      </c>
      <c r="G11" s="2" t="s">
        <v>92</v>
      </c>
      <c r="H11" s="74">
        <v>93.28</v>
      </c>
      <c r="I11" s="2" t="s">
        <v>52</v>
      </c>
      <c r="J11" s="67">
        <v>17.079999999999998</v>
      </c>
      <c r="K11" s="2" t="s">
        <v>83</v>
      </c>
      <c r="L11" s="58" t="s">
        <v>84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80</v>
      </c>
      <c r="Y11" s="61">
        <f>SUM((AA11*3)+AB11)</f>
        <v>7</v>
      </c>
      <c r="Z11" s="61">
        <f>SUM(AA11+AB11+AC11)</f>
        <v>5</v>
      </c>
      <c r="AA11" s="61">
        <f>COUNTIFS($G$3:$G$228,X11,$B$3:$B$228,"V")+COUNTIFS($K$3:$K$228,X11,$P$3:$P$228,"V")</f>
        <v>2</v>
      </c>
      <c r="AB11" s="61">
        <f>COUNTIFS($G$3:$G$228,X11,$B$3:$B$228,"E",$H$3:$H$228,"&lt;&gt;"&amp;"")+COUNTIFS($K$3:$K$228,X11,$P$3:$P$228,"E",$J$3:$J$228,"&lt;&gt;"&amp;"")</f>
        <v>1</v>
      </c>
      <c r="AC11" s="61">
        <f>COUNTIFS($G$3:$G$228,X11,$B$3:$B$228,"D")+COUNTIFS($K$3:$K$228,X11,$P$3:$P$228,"D")</f>
        <v>2</v>
      </c>
      <c r="AD11" s="61">
        <f>SUMIFS($C$3:$C$228,$G$3:$G$228,X11)+SUMIFS($O$3:$O$228,$K$3:$K$228,X11)</f>
        <v>338.08</v>
      </c>
      <c r="AE11" s="61">
        <f>SUMIFS($D$3:$D$228,$G$3:$G$228,X11)+SUMIFS($N$3:$N$228,$K$3:$K$228,X11)</f>
        <v>308.15000000000003</v>
      </c>
      <c r="AF11" s="61">
        <f>SUM(AD11-AE11)</f>
        <v>29.92999999999995</v>
      </c>
      <c r="AG11" s="21">
        <f>SUM(AD11/Z11)</f>
        <v>67.616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94</v>
      </c>
      <c r="L12" s="58" t="s">
        <v>95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37" t="s">
        <v>87</v>
      </c>
      <c r="Y12" s="40">
        <f>SUM((AA12*3)+AB12)</f>
        <v>7</v>
      </c>
      <c r="Z12" s="40">
        <f>SUM(AA12+AB12+AC12)</f>
        <v>5</v>
      </c>
      <c r="AA12" s="40">
        <f>COUNTIFS($G$3:$G$228,X12,$B$3:$B$228,"V")+COUNTIFS($K$3:$K$228,X12,$P$3:$P$228,"V")</f>
        <v>2</v>
      </c>
      <c r="AB12" s="40">
        <f>COUNTIFS($G$3:$G$228,X12,$B$3:$B$228,"E",$H$3:$H$228,"&lt;&gt;"&amp;"")+COUNTIFS($K$3:$K$228,X12,$P$3:$P$228,"E",$J$3:$J$228,"&lt;&gt;"&amp;"")</f>
        <v>1</v>
      </c>
      <c r="AC12" s="40">
        <f>COUNTIFS($G$3:$G$228,X12,$B$3:$B$228,"D")+COUNTIFS($K$3:$K$228,X12,$P$3:$P$228,"D")</f>
        <v>2</v>
      </c>
      <c r="AD12" s="40">
        <f>SUMIFS($C$3:$C$228,$G$3:$G$228,X12)+SUMIFS($O$3:$O$228,$K$3:$K$228,X12)</f>
        <v>469.15</v>
      </c>
      <c r="AE12" s="40">
        <f>SUMIFS($D$3:$D$228,$G$3:$G$228,X12)+SUMIFS($N$3:$N$228,$K$3:$K$228,X12)</f>
        <v>462.78</v>
      </c>
      <c r="AF12" s="40">
        <f>SUM(AD12-AE12)</f>
        <v>6.3700000000000045</v>
      </c>
      <c r="AG12" s="21">
        <f>SUM(AD12/Z12)</f>
        <v>93.83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60</v>
      </c>
      <c r="Y13" s="60">
        <f>SUM((AA13*3)+AB13)</f>
        <v>7</v>
      </c>
      <c r="Z13" s="60">
        <f>SUM(AA13+AB13+AC13)</f>
        <v>5</v>
      </c>
      <c r="AA13" s="61">
        <f>COUNTIFS($G$3:$G$228,X13,$B$3:$B$228,"V")+COUNTIFS($K$3:$K$228,X13,$P$3:$P$228,"V")</f>
        <v>2</v>
      </c>
      <c r="AB13" s="61">
        <f>COUNTIFS($G$3:$G$228,X13,$B$3:$B$228,"E",$H$3:$H$228,"&lt;&gt;"&amp;"")+COUNTIFS($K$3:$K$228,X13,$P$3:$P$228,"E",$J$3:$J$228,"&lt;&gt;"&amp;"")</f>
        <v>1</v>
      </c>
      <c r="AC13" s="61">
        <f>COUNTIFS($G$3:$G$228,X13,$B$3:$B$228,"D")+COUNTIFS($K$3:$K$228,X13,$P$3:$P$228,"D")</f>
        <v>2</v>
      </c>
      <c r="AD13" s="61">
        <f>SUMIFS($C$3:$C$228,$G$3:$G$228,X13)+SUMIFS($O$3:$O$228,$K$3:$K$228,X13)</f>
        <v>403.46</v>
      </c>
      <c r="AE13" s="61">
        <f>SUMIFS($D$3:$D$228,$G$3:$G$228,X13)+SUMIFS($N$3:$N$228,$K$3:$K$228,X13)</f>
        <v>425.94</v>
      </c>
      <c r="AF13" s="60">
        <f>SUM(AD13-AE13)</f>
        <v>-22.480000000000018</v>
      </c>
      <c r="AG13" s="21">
        <f>SUM(AD13/Z13)</f>
        <v>80.691999999999993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62</v>
      </c>
      <c r="Y14" s="40">
        <f>SUM((AA14*3)+AB14)</f>
        <v>7</v>
      </c>
      <c r="Z14" s="40">
        <f>SUM(AA14+AB14+AC14)</f>
        <v>5</v>
      </c>
      <c r="AA14" s="40">
        <f>COUNTIFS($G$3:$G$228,X14,$B$3:$B$228,"V")+COUNTIFS($K$3:$K$228,X14,$P$3:$P$228,"V")</f>
        <v>1</v>
      </c>
      <c r="AB14" s="40">
        <f>COUNTIFS($G$3:$G$228,X14,$B$3:$B$228,"E",$H$3:$H$228,"&lt;&gt;"&amp;"")+COUNTIFS($K$3:$K$228,X14,$P$3:$P$228,"E",$J$3:$J$228,"&lt;&gt;"&amp;"")</f>
        <v>4</v>
      </c>
      <c r="AC14" s="40">
        <f>COUNTIFS($G$3:$G$228,X14,$B$3:$B$228,"D")+COUNTIFS($K$3:$K$228,X14,$P$3:$P$228,"D")</f>
        <v>0</v>
      </c>
      <c r="AD14" s="40">
        <f>SUMIFS($C$3:$C$228,$G$3:$G$228,X14)+SUMIFS($O$3:$O$228,$K$3:$K$228,X14)</f>
        <v>454.26</v>
      </c>
      <c r="AE14" s="40">
        <f>SUMIFS($D$3:$D$228,$G$3:$G$228,X14)+SUMIFS($N$3:$N$228,$K$3:$K$228,X14)</f>
        <v>374.69</v>
      </c>
      <c r="AF14" s="40">
        <f>SUM(AD14-AE14)</f>
        <v>79.569999999999993</v>
      </c>
      <c r="AG14" s="21">
        <f>SUM(AD14/Z14)</f>
        <v>90.852000000000004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97</v>
      </c>
      <c r="G15" s="2" t="s">
        <v>96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83</v>
      </c>
      <c r="Y15" s="60">
        <f>SUM((AA15*3)+AB15)</f>
        <v>6</v>
      </c>
      <c r="Z15" s="60">
        <f>SUM(AA15+AB15+AC15)</f>
        <v>5</v>
      </c>
      <c r="AA15" s="61">
        <f>COUNTIFS($G$3:$G$228,X15,$B$3:$B$228,"V")+COUNTIFS($K$3:$K$228,X15,$P$3:$P$228,"V")</f>
        <v>2</v>
      </c>
      <c r="AB15" s="61">
        <f>COUNTIFS($G$3:$G$228,X15,$B$3:$B$228,"E",$H$3:$H$228,"&lt;&gt;"&amp;"")+COUNTIFS($K$3:$K$228,X15,$P$3:$P$228,"E",$J$3:$J$228,"&lt;&gt;"&amp;"")</f>
        <v>0</v>
      </c>
      <c r="AC15" s="61">
        <f>COUNTIFS($G$3:$G$228,X15,$B$3:$B$228,"D")+COUNTIFS($K$3:$K$228,X15,$P$3:$P$228,"D")</f>
        <v>3</v>
      </c>
      <c r="AD15" s="61">
        <f>SUMIFS($C$3:$C$228,$G$3:$G$228,X15)+SUMIFS($O$3:$O$228,$K$3:$K$228,X15)</f>
        <v>290.02</v>
      </c>
      <c r="AE15" s="61">
        <f>SUMIFS($D$3:$D$228,$G$3:$G$228,X15)+SUMIFS($N$3:$N$228,$K$3:$K$228,X15)</f>
        <v>299.90999999999997</v>
      </c>
      <c r="AF15" s="60">
        <f>SUM(AD15-AE15)</f>
        <v>-9.8899999999999864</v>
      </c>
      <c r="AG15" s="21">
        <f>SUM(AD15/Z15)</f>
        <v>58.003999999999998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99</v>
      </c>
      <c r="G16" s="2" t="s">
        <v>98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100</v>
      </c>
      <c r="Y16" s="39">
        <f>SUM((AA16*3)+AB16)</f>
        <v>5</v>
      </c>
      <c r="Z16" s="39">
        <f>SUM(AA16+AB16+AC16)</f>
        <v>5</v>
      </c>
      <c r="AA16" s="40">
        <f>COUNTIFS($G$3:$G$228,X16,$B$3:$B$228,"V")+COUNTIFS($K$3:$K$228,X16,$P$3:$P$228,"V")</f>
        <v>1</v>
      </c>
      <c r="AB16" s="40">
        <f>COUNTIFS($G$3:$G$228,X16,$B$3:$B$228,"E",$H$3:$H$228,"&lt;&gt;"&amp;"")+COUNTIFS($K$3:$K$228,X16,$P$3:$P$228,"E",$J$3:$J$228,"&lt;&gt;"&amp;"")</f>
        <v>2</v>
      </c>
      <c r="AC16" s="40">
        <f>COUNTIFS($G$3:$G$228,X16,$B$3:$B$228,"D")+COUNTIFS($K$3:$K$228,X16,$P$3:$P$228,"D")</f>
        <v>2</v>
      </c>
      <c r="AD16" s="40">
        <f>SUMIFS($C$3:$C$228,$G$3:$G$228,X16)+SUMIFS($O$3:$O$228,$K$3:$K$228,X16)</f>
        <v>425.97</v>
      </c>
      <c r="AE16" s="40">
        <f>SUMIFS($D$3:$D$228,$G$3:$G$228,X16)+SUMIFS($N$3:$N$228,$K$3:$K$228,X16)</f>
        <v>429.90999999999997</v>
      </c>
      <c r="AF16" s="39">
        <f>SUM(AD16-AE16)</f>
        <v>-3.9399999999999409</v>
      </c>
      <c r="AG16" s="21">
        <f>SUM(AD16/Z16)</f>
        <v>85.194000000000003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95</v>
      </c>
      <c r="G17" s="2" t="s">
        <v>94</v>
      </c>
      <c r="H17" s="75">
        <v>87.53</v>
      </c>
      <c r="I17" s="2" t="s">
        <v>52</v>
      </c>
      <c r="J17" s="75">
        <v>89.06</v>
      </c>
      <c r="K17" s="2" t="s">
        <v>92</v>
      </c>
      <c r="L17" s="58" t="s">
        <v>93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96</v>
      </c>
      <c r="Y17" s="60">
        <f>SUM((AA17*3)+AB17)</f>
        <v>4</v>
      </c>
      <c r="Z17" s="60">
        <f>SUM(AA17+AB17+AC17)</f>
        <v>5</v>
      </c>
      <c r="AA17" s="61">
        <f>COUNTIFS($G$3:$G$228,X17,$B$3:$B$228,"V")+COUNTIFS($K$3:$K$228,X17,$P$3:$P$228,"V")</f>
        <v>1</v>
      </c>
      <c r="AB17" s="61">
        <f>COUNTIFS($G$3:$G$228,X17,$B$3:$B$228,"E",$H$3:$H$228,"&lt;&gt;"&amp;"")+COUNTIFS($K$3:$K$228,X17,$P$3:$P$228,"E",$J$3:$J$228,"&lt;&gt;"&amp;"")</f>
        <v>1</v>
      </c>
      <c r="AC17" s="61">
        <f>COUNTIFS($G$3:$G$228,X17,$B$3:$B$228,"D")+COUNTIFS($K$3:$K$228,X17,$P$3:$P$228,"D")</f>
        <v>3</v>
      </c>
      <c r="AD17" s="61">
        <f>SUMIFS($C$3:$C$228,$G$3:$G$228,X17)+SUMIFS($O$3:$O$228,$K$3:$K$228,X17)</f>
        <v>280.76</v>
      </c>
      <c r="AE17" s="61">
        <f>SUMIFS($D$3:$D$228,$G$3:$G$228,X17)+SUMIFS($N$3:$N$228,$K$3:$K$228,X17)</f>
        <v>341.78999999999996</v>
      </c>
      <c r="AF17" s="60">
        <f>SUM(AD17-AE17)</f>
        <v>-61.029999999999973</v>
      </c>
      <c r="AG17" s="21">
        <f>SUM(AD17/Z17)</f>
        <v>56.152000000000001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90</v>
      </c>
      <c r="G18" s="2" t="s">
        <v>89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98</v>
      </c>
      <c r="Y18" s="39">
        <f>SUM((AA18*3)+AB18)</f>
        <v>4</v>
      </c>
      <c r="Z18" s="39">
        <f>SUM(AA18+AB18+AC18)</f>
        <v>5</v>
      </c>
      <c r="AA18" s="40">
        <f>COUNTIFS($G$3:$G$228,X18,$B$3:$B$228,"V")+COUNTIFS($K$3:$K$228,X18,$P$3:$P$228,"V")</f>
        <v>1</v>
      </c>
      <c r="AB18" s="40">
        <f>COUNTIFS($G$3:$G$228,X18,$B$3:$B$228,"E",$H$3:$H$228,"&lt;&gt;"&amp;"")+COUNTIFS($K$3:$K$228,X18,$P$3:$P$228,"E",$J$3:$J$228,"&lt;&gt;"&amp;"")</f>
        <v>1</v>
      </c>
      <c r="AC18" s="40">
        <f>COUNTIFS($G$3:$G$228,X18,$B$3:$B$228,"D")+COUNTIFS($K$3:$K$228,X18,$P$3:$P$228,"D")</f>
        <v>3</v>
      </c>
      <c r="AD18" s="40">
        <f>SUMIFS($C$3:$C$228,$G$3:$G$228,X18)+SUMIFS($O$3:$O$228,$K$3:$K$228,X18)</f>
        <v>256.78000000000003</v>
      </c>
      <c r="AE18" s="40">
        <f>SUMIFS($D$3:$D$228,$G$3:$G$228,X18)+SUMIFS($N$3:$N$228,$K$3:$K$228,X18)</f>
        <v>456.31</v>
      </c>
      <c r="AF18" s="39">
        <f>SUM(AD18-AE18)</f>
        <v>-199.52999999999997</v>
      </c>
      <c r="AG18" s="21">
        <f>SUM(AD18/Z18)</f>
        <v>51.356000000000009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82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75</v>
      </c>
      <c r="L19" s="58" t="s">
        <v>74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75</v>
      </c>
      <c r="Y19" s="39">
        <f>SUM((AA19*3)+AB19)</f>
        <v>3</v>
      </c>
      <c r="Z19" s="39">
        <f>SUM(AA19+AB19+AC19)</f>
        <v>5</v>
      </c>
      <c r="AA19" s="40">
        <f>COUNTIFS($G$3:$G$228,X19,$B$3:$B$228,"V")+COUNTIFS($K$3:$K$228,X19,$P$3:$P$228,"V")</f>
        <v>1</v>
      </c>
      <c r="AB19" s="40">
        <f>COUNTIFS($G$3:$G$228,X19,$B$3:$B$228,"E",$H$3:$H$228,"&lt;&gt;"&amp;"")+COUNTIFS($K$3:$K$228,X19,$P$3:$P$228,"E",$J$3:$J$228,"&lt;&gt;"&amp;"")</f>
        <v>0</v>
      </c>
      <c r="AC19" s="40">
        <f>COUNTIFS($G$3:$G$228,X19,$B$3:$B$228,"D")+COUNTIFS($K$3:$K$228,X19,$P$3:$P$228,"D")</f>
        <v>4</v>
      </c>
      <c r="AD19" s="40">
        <f>SUMIFS($C$3:$C$228,$G$3:$G$228,X19)+SUMIFS($O$3:$O$228,$K$3:$K$228,X19)</f>
        <v>387.52</v>
      </c>
      <c r="AE19" s="40">
        <f>SUMIFS($D$3:$D$228,$G$3:$G$228,X19)+SUMIFS($N$3:$N$228,$K$3:$K$228,X19)</f>
        <v>443.84</v>
      </c>
      <c r="AF19" s="39">
        <f>SUM(AD19-AE19)</f>
        <v>-56.319999999999993</v>
      </c>
      <c r="AG19" s="21">
        <f>SUM(AD19/Z19)</f>
        <v>77.503999999999991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81</v>
      </c>
      <c r="G20" s="2" t="s">
        <v>80</v>
      </c>
      <c r="H20" s="74">
        <v>84.74</v>
      </c>
      <c r="I20" s="2" t="s">
        <v>52</v>
      </c>
      <c r="J20" s="67">
        <v>70</v>
      </c>
      <c r="K20" s="2" t="s">
        <v>73</v>
      </c>
      <c r="L20" s="58" t="s">
        <v>72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28" t="s">
        <v>73</v>
      </c>
      <c r="Y20" s="39">
        <f>SUM((AA20*3)+AB20)</f>
        <v>3</v>
      </c>
      <c r="Z20" s="39">
        <f>SUM(AA20+AB20+AC20)</f>
        <v>5</v>
      </c>
      <c r="AA20" s="40">
        <f>COUNTIFS($G$3:$G$228,X20,$B$3:$B$228,"V")+COUNTIFS($K$3:$K$228,X20,$P$3:$P$228,"V")</f>
        <v>1</v>
      </c>
      <c r="AB20" s="40">
        <f>COUNTIFS($G$3:$G$228,X20,$B$3:$B$228,"E",$H$3:$H$228,"&lt;&gt;"&amp;"")+COUNTIFS($K$3:$K$228,X20,$P$3:$P$228,"E",$J$3:$J$228,"&lt;&gt;"&amp;"")</f>
        <v>0</v>
      </c>
      <c r="AC20" s="40">
        <f>COUNTIFS($G$3:$G$228,X20,$B$3:$B$228,"D")+COUNTIFS($K$3:$K$228,X20,$P$3:$P$228,"D")</f>
        <v>4</v>
      </c>
      <c r="AD20" s="40">
        <f>SUMIFS($C$3:$C$228,$G$3:$G$228,X20)+SUMIFS($O$3:$O$228,$K$3:$K$228,X20)</f>
        <v>286.63</v>
      </c>
      <c r="AE20" s="40">
        <f>SUMIFS($D$3:$D$228,$G$3:$G$228,X20)+SUMIFS($N$3:$N$228,$K$3:$K$228,X20)</f>
        <v>389.95</v>
      </c>
      <c r="AF20" s="39">
        <f>SUM(AD20-AE20)</f>
        <v>-103.32</v>
      </c>
      <c r="AG20" s="21">
        <f>SUM(AD20/Z20)</f>
        <v>57.326000000000001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71</v>
      </c>
      <c r="G21" s="2" t="s">
        <v>100</v>
      </c>
      <c r="H21" s="75">
        <v>55.55</v>
      </c>
      <c r="I21" s="2" t="s">
        <v>52</v>
      </c>
      <c r="J21" s="75">
        <v>60.26</v>
      </c>
      <c r="K21" s="2" t="s">
        <v>78</v>
      </c>
      <c r="L21" s="58" t="s">
        <v>79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37" t="s">
        <v>70</v>
      </c>
      <c r="Y21" s="60">
        <f>SUM((AA21*3)+AB21)</f>
        <v>1</v>
      </c>
      <c r="Z21" s="60">
        <f>SUM(AA21+AB21+AC21)</f>
        <v>5</v>
      </c>
      <c r="AA21" s="61">
        <f>COUNTIFS($G$3:$G$228,X21,$B$3:$B$228,"V")+COUNTIFS($K$3:$K$228,X21,$P$3:$P$228,"V")</f>
        <v>0</v>
      </c>
      <c r="AB21" s="61">
        <f>COUNTIFS($G$3:$G$228,X21,$B$3:$B$228,"E",$H$3:$H$228,"&lt;&gt;"&amp;"")+COUNTIFS($K$3:$K$228,X21,$P$3:$P$228,"E",$J$3:$J$228,"&lt;&gt;"&amp;"")</f>
        <v>1</v>
      </c>
      <c r="AC21" s="61">
        <f>COUNTIFS($G$3:$G$228,X21,$B$3:$B$228,"D")+COUNTIFS($K$3:$K$228,X21,$P$3:$P$228,"D")</f>
        <v>4</v>
      </c>
      <c r="AD21" s="61">
        <f>SUMIFS($C$3:$C$228,$G$3:$G$228,X21)+SUMIFS($O$3:$O$228,$K$3:$K$228,X21)</f>
        <v>282.93</v>
      </c>
      <c r="AE21" s="61">
        <f>SUMIFS($D$3:$D$228,$G$3:$G$228,X21)+SUMIFS($N$3:$N$228,$K$3:$K$228,X21)</f>
        <v>433.39</v>
      </c>
      <c r="AF21" s="60">
        <f>SUM(AD21-AE21)</f>
        <v>-150.45999999999998</v>
      </c>
      <c r="AG21" s="21">
        <f>SUM(AD21/Z21)</f>
        <v>56.585999999999999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84</v>
      </c>
      <c r="G22" s="2" t="s">
        <v>83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8" t="s">
        <v>78</v>
      </c>
      <c r="Y22" s="36">
        <f>SUM((AA22*3)+AB22)</f>
        <v>1</v>
      </c>
      <c r="Z22" s="36">
        <f>SUM(AA22+AB22+AC22)</f>
        <v>5</v>
      </c>
      <c r="AA22" s="36">
        <f>COUNTIFS($G$3:$G$228,X22,$B$3:$B$228,"V")+COUNTIFS($K$3:$K$228,X22,$P$3:$P$228,"V")</f>
        <v>0</v>
      </c>
      <c r="AB22" s="36">
        <f>COUNTIFS($G$3:$G$228,X22,$B$3:$B$228,"E",$H$3:$H$228,"&lt;&gt;"&amp;"")+COUNTIFS($K$3:$K$228,X22,$P$3:$P$228,"E",$J$3:$J$228,"&lt;&gt;"&amp;"")</f>
        <v>1</v>
      </c>
      <c r="AC22" s="36">
        <f>COUNTIFS($G$3:$G$228,X22,$B$3:$B$228,"D")+COUNTIFS($K$3:$K$228,X22,$P$3:$P$228,"D")</f>
        <v>4</v>
      </c>
      <c r="AD22" s="36">
        <f>SUMIFS($C$3:$C$228,$G$3:$G$228,X22)+SUMIFS($O$3:$O$228,$K$3:$K$228,X22)</f>
        <v>247.60999999999999</v>
      </c>
      <c r="AE22" s="36">
        <f>SUMIFS($D$3:$D$228,$G$3:$G$228,X22)+SUMIFS($N$3:$N$228,$K$3:$K$228,X22)</f>
        <v>420.4</v>
      </c>
      <c r="AF22" s="36">
        <f>SUM(AD22-AE22)</f>
        <v>-172.79</v>
      </c>
      <c r="AG22" s="22">
        <f>SUM(AD22/Z22)</f>
        <v>49.521999999999998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88</v>
      </c>
      <c r="G23" s="71" t="s">
        <v>87</v>
      </c>
      <c r="H23" s="67">
        <v>72.91</v>
      </c>
      <c r="I23" s="2" t="s">
        <v>52</v>
      </c>
      <c r="J23" s="74">
        <v>83.61</v>
      </c>
      <c r="K23" s="2" t="s">
        <v>91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77</v>
      </c>
      <c r="G24" s="2" t="s">
        <v>76</v>
      </c>
      <c r="H24" s="67">
        <v>71.010000000000005</v>
      </c>
      <c r="I24" s="2" t="s">
        <v>52</v>
      </c>
      <c r="J24" s="74">
        <v>82.78</v>
      </c>
      <c r="K24" s="2" t="s">
        <v>85</v>
      </c>
      <c r="L24" s="58" t="s">
        <v>86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97</v>
      </c>
      <c r="G27" s="2" t="s">
        <v>96</v>
      </c>
      <c r="H27" s="75">
        <v>0</v>
      </c>
      <c r="I27" s="2" t="s">
        <v>52</v>
      </c>
      <c r="J27" s="75">
        <v>0</v>
      </c>
      <c r="K27" s="2" t="s">
        <v>80</v>
      </c>
      <c r="L27" s="58" t="s">
        <v>81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99</v>
      </c>
      <c r="G28" s="2" t="s">
        <v>98</v>
      </c>
      <c r="H28" s="67">
        <v>0</v>
      </c>
      <c r="I28" s="2" t="s">
        <v>52</v>
      </c>
      <c r="J28" s="74">
        <v>66.81</v>
      </c>
      <c r="K28" s="2" t="s">
        <v>94</v>
      </c>
      <c r="L28" s="58" t="s">
        <v>95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72</v>
      </c>
      <c r="G30" s="2" t="s">
        <v>73</v>
      </c>
      <c r="H30" s="67">
        <v>0</v>
      </c>
      <c r="I30" s="2" t="s">
        <v>52</v>
      </c>
      <c r="J30" s="74">
        <v>58.61</v>
      </c>
      <c r="K30" s="2" t="s">
        <v>83</v>
      </c>
      <c r="L30" s="58" t="s">
        <v>84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82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87</v>
      </c>
      <c r="L31" s="58" t="s">
        <v>88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91</v>
      </c>
      <c r="H32" s="74">
        <v>94.66</v>
      </c>
      <c r="I32" s="2" t="s">
        <v>52</v>
      </c>
      <c r="J32" s="67">
        <v>78.010000000000005</v>
      </c>
      <c r="K32" s="2" t="s">
        <v>75</v>
      </c>
      <c r="L32" s="58" t="s">
        <v>74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71</v>
      </c>
      <c r="G33" s="2" t="s">
        <v>100</v>
      </c>
      <c r="H33" s="75">
        <v>73.81</v>
      </c>
      <c r="I33" s="2" t="s">
        <v>52</v>
      </c>
      <c r="J33" s="75">
        <v>71.599999999999994</v>
      </c>
      <c r="K33" s="2" t="s">
        <v>89</v>
      </c>
      <c r="L33" s="58" t="s">
        <v>90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79</v>
      </c>
      <c r="G34" s="2" t="s">
        <v>78</v>
      </c>
      <c r="H34" s="67">
        <v>49.74</v>
      </c>
      <c r="I34" s="2" t="s">
        <v>52</v>
      </c>
      <c r="J34" s="74">
        <v>58.86</v>
      </c>
      <c r="K34" s="2" t="s">
        <v>85</v>
      </c>
      <c r="L34" s="58" t="s">
        <v>86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93</v>
      </c>
      <c r="G35" s="2" t="s">
        <v>92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77</v>
      </c>
      <c r="G36" s="2" t="s">
        <v>76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86</v>
      </c>
      <c r="G39" s="2" t="s">
        <v>85</v>
      </c>
      <c r="H39" s="75">
        <v>81.540000000000006</v>
      </c>
      <c r="I39" s="2" t="s">
        <v>52</v>
      </c>
      <c r="J39" s="75">
        <v>86.3</v>
      </c>
      <c r="K39" s="2" t="s">
        <v>91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82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95</v>
      </c>
      <c r="G41" s="2" t="s">
        <v>94</v>
      </c>
      <c r="H41" s="74">
        <v>87.57</v>
      </c>
      <c r="I41" s="2" t="s">
        <v>52</v>
      </c>
      <c r="J41" s="67">
        <v>70.069999999999993</v>
      </c>
      <c r="K41" s="2" t="s">
        <v>100</v>
      </c>
      <c r="L41" s="58" t="s">
        <v>71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90</v>
      </c>
      <c r="G42" s="2" t="s">
        <v>89</v>
      </c>
      <c r="H42" s="74">
        <v>78.099999999999994</v>
      </c>
      <c r="I42" s="2" t="s">
        <v>52</v>
      </c>
      <c r="J42" s="67">
        <v>55.65</v>
      </c>
      <c r="K42" s="2" t="s">
        <v>96</v>
      </c>
      <c r="L42" s="58" t="s">
        <v>97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74</v>
      </c>
      <c r="G43" s="2" t="s">
        <v>75</v>
      </c>
      <c r="H43" s="74">
        <v>59.94</v>
      </c>
      <c r="I43" s="2" t="s">
        <v>52</v>
      </c>
      <c r="J43" s="67">
        <v>42.77</v>
      </c>
      <c r="K43" s="2" t="s">
        <v>78</v>
      </c>
      <c r="L43" s="58" t="s">
        <v>79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81</v>
      </c>
      <c r="G44" s="2" t="s">
        <v>80</v>
      </c>
      <c r="H44" s="67">
        <v>51.02</v>
      </c>
      <c r="I44" s="2" t="s">
        <v>52</v>
      </c>
      <c r="J44" s="74">
        <v>75.150000000000006</v>
      </c>
      <c r="K44" s="2" t="s">
        <v>76</v>
      </c>
      <c r="L44" s="58" t="s">
        <v>77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73</v>
      </c>
      <c r="L45" s="58" t="s">
        <v>72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84</v>
      </c>
      <c r="G46" s="2" t="s">
        <v>83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88</v>
      </c>
      <c r="G47" s="71" t="s">
        <v>87</v>
      </c>
      <c r="H47" s="67">
        <v>51.95</v>
      </c>
      <c r="I47" s="2" t="s">
        <v>52</v>
      </c>
      <c r="J47" s="74">
        <v>57.28</v>
      </c>
      <c r="K47" s="2" t="s">
        <v>98</v>
      </c>
      <c r="L47" s="58" t="s">
        <v>99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92</v>
      </c>
      <c r="L48" s="58" t="s">
        <v>93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86</v>
      </c>
      <c r="G51" s="2" t="s">
        <v>85</v>
      </c>
      <c r="H51" s="77">
        <v>98.58</v>
      </c>
      <c r="I51" s="2" t="s">
        <v>52</v>
      </c>
      <c r="J51" s="77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99</v>
      </c>
      <c r="G52" s="2" t="s">
        <v>98</v>
      </c>
      <c r="H52" s="2">
        <v>73.72</v>
      </c>
      <c r="I52" s="2" t="s">
        <v>52</v>
      </c>
      <c r="J52" s="58">
        <v>137.07</v>
      </c>
      <c r="K52" s="2" t="s">
        <v>91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58">
        <v>124.87</v>
      </c>
      <c r="I53" s="2" t="s">
        <v>52</v>
      </c>
      <c r="J53" s="2">
        <v>110.92</v>
      </c>
      <c r="K53" s="2" t="s">
        <v>73</v>
      </c>
      <c r="L53" s="58" t="s">
        <v>72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90</v>
      </c>
      <c r="G54" s="2" t="s">
        <v>89</v>
      </c>
      <c r="H54" s="58">
        <v>137.6</v>
      </c>
      <c r="I54" s="2" t="s">
        <v>52</v>
      </c>
      <c r="J54" s="2">
        <v>48.36</v>
      </c>
      <c r="K54" s="2" t="s">
        <v>78</v>
      </c>
      <c r="L54" s="58" t="s">
        <v>79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74</v>
      </c>
      <c r="G55" s="2" t="s">
        <v>75</v>
      </c>
      <c r="H55" s="2">
        <v>102.69</v>
      </c>
      <c r="I55" s="2" t="s">
        <v>52</v>
      </c>
      <c r="J55" s="58">
        <v>110</v>
      </c>
      <c r="K55" s="2" t="s">
        <v>92</v>
      </c>
      <c r="L55" s="58" t="s">
        <v>93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81</v>
      </c>
      <c r="G56" s="2" t="s">
        <v>80</v>
      </c>
      <c r="H56" s="2">
        <v>93.87</v>
      </c>
      <c r="I56" s="2" t="s">
        <v>52</v>
      </c>
      <c r="J56" s="58">
        <v>116.52</v>
      </c>
      <c r="K56" s="2" t="s">
        <v>68</v>
      </c>
      <c r="L56" s="58" t="s">
        <v>82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7">
        <v>97.29</v>
      </c>
      <c r="I57" s="2" t="s">
        <v>52</v>
      </c>
      <c r="J57" s="77">
        <v>95.05</v>
      </c>
      <c r="K57" s="2" t="s">
        <v>94</v>
      </c>
      <c r="L57" s="58" t="s">
        <v>95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84</v>
      </c>
      <c r="G58" s="2" t="s">
        <v>83</v>
      </c>
      <c r="H58" s="2">
        <v>54.63</v>
      </c>
      <c r="I58" s="2" t="s">
        <v>52</v>
      </c>
      <c r="J58" s="58">
        <v>61.59</v>
      </c>
      <c r="K58" s="2" t="s">
        <v>96</v>
      </c>
      <c r="L58" s="58" t="s">
        <v>97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88</v>
      </c>
      <c r="G59" s="71" t="s">
        <v>87</v>
      </c>
      <c r="H59" s="58">
        <v>122.47</v>
      </c>
      <c r="I59" s="2" t="s">
        <v>52</v>
      </c>
      <c r="J59" s="2">
        <v>116.92</v>
      </c>
      <c r="K59" s="2" t="s">
        <v>100</v>
      </c>
      <c r="L59" s="58" t="s">
        <v>71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58">
        <v>110.4</v>
      </c>
      <c r="I60" s="2" t="s">
        <v>52</v>
      </c>
      <c r="J60" s="2">
        <v>102.32</v>
      </c>
      <c r="K60" s="2" t="s">
        <v>76</v>
      </c>
      <c r="L60" s="58" t="s">
        <v>77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0</v>
      </c>
      <c r="B63" s="5" t="str">
        <f t="shared" si="1"/>
        <v>E</v>
      </c>
      <c r="C63" s="5">
        <f t="shared" si="2"/>
        <v>0</v>
      </c>
      <c r="D63" s="5">
        <f t="shared" si="3"/>
        <v>0</v>
      </c>
      <c r="E63" s="4"/>
      <c r="F63" s="58" t="s">
        <v>97</v>
      </c>
      <c r="G63" s="2" t="s">
        <v>96</v>
      </c>
      <c r="H63" s="2"/>
      <c r="I63" s="2" t="s">
        <v>52</v>
      </c>
      <c r="J63" s="2"/>
      <c r="K63" s="2" t="s">
        <v>98</v>
      </c>
      <c r="L63" s="58" t="s">
        <v>99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41"/>
    </row>
    <row r="64" spans="1:24" ht="17.25" customHeight="1" x14ac:dyDescent="0.25">
      <c r="A64" s="5">
        <f t="shared" si="0"/>
        <v>0</v>
      </c>
      <c r="B64" s="5" t="str">
        <f t="shared" si="1"/>
        <v>E</v>
      </c>
      <c r="C64" s="5">
        <f t="shared" si="2"/>
        <v>0</v>
      </c>
      <c r="D64" s="5">
        <f t="shared" si="3"/>
        <v>0</v>
      </c>
      <c r="E64" s="4"/>
      <c r="F64" s="58" t="s">
        <v>69</v>
      </c>
      <c r="G64" s="71" t="s">
        <v>70</v>
      </c>
      <c r="H64" s="2"/>
      <c r="I64" s="2" t="s">
        <v>52</v>
      </c>
      <c r="J64" s="2"/>
      <c r="K64" s="2" t="s">
        <v>80</v>
      </c>
      <c r="L64" s="58" t="s">
        <v>81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41"/>
    </row>
    <row r="65" spans="1:24" ht="17.25" customHeight="1" x14ac:dyDescent="0.25">
      <c r="A65" s="5">
        <f t="shared" si="0"/>
        <v>0</v>
      </c>
      <c r="B65" s="5" t="str">
        <f t="shared" si="1"/>
        <v>E</v>
      </c>
      <c r="C65" s="5">
        <f t="shared" si="2"/>
        <v>0</v>
      </c>
      <c r="D65" s="5">
        <f t="shared" si="3"/>
        <v>0</v>
      </c>
      <c r="E65" s="4"/>
      <c r="F65" s="58" t="s">
        <v>95</v>
      </c>
      <c r="G65" s="2" t="s">
        <v>94</v>
      </c>
      <c r="H65" s="2"/>
      <c r="I65" s="2" t="s">
        <v>52</v>
      </c>
      <c r="J65" s="2"/>
      <c r="K65" s="2" t="s">
        <v>75</v>
      </c>
      <c r="L65" s="58" t="s">
        <v>74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42"/>
    </row>
    <row r="66" spans="1:24" ht="17.25" customHeight="1" x14ac:dyDescent="0.25">
      <c r="A66" s="5">
        <f t="shared" si="0"/>
        <v>0</v>
      </c>
      <c r="B66" s="5" t="str">
        <f t="shared" si="1"/>
        <v>E</v>
      </c>
      <c r="C66" s="5">
        <f t="shared" si="2"/>
        <v>0</v>
      </c>
      <c r="D66" s="5">
        <f t="shared" si="3"/>
        <v>0</v>
      </c>
      <c r="E66" s="4"/>
      <c r="F66" s="58" t="s">
        <v>72</v>
      </c>
      <c r="G66" s="2" t="s">
        <v>73</v>
      </c>
      <c r="H66" s="2"/>
      <c r="I66" s="2" t="s">
        <v>52</v>
      </c>
      <c r="J66" s="2"/>
      <c r="K66" s="2" t="s">
        <v>85</v>
      </c>
      <c r="L66" s="58" t="s">
        <v>86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41"/>
    </row>
    <row r="67" spans="1:24" ht="17.25" customHeight="1" x14ac:dyDescent="0.25">
      <c r="A67" s="5">
        <f t="shared" si="0"/>
        <v>0</v>
      </c>
      <c r="B67" s="5" t="str">
        <f t="shared" si="1"/>
        <v>E</v>
      </c>
      <c r="C67" s="5">
        <f t="shared" si="2"/>
        <v>0</v>
      </c>
      <c r="D67" s="5">
        <f t="shared" si="3"/>
        <v>0</v>
      </c>
      <c r="E67" s="4"/>
      <c r="F67" s="58" t="s">
        <v>82</v>
      </c>
      <c r="G67" s="2" t="s">
        <v>68</v>
      </c>
      <c r="H67" s="2"/>
      <c r="I67" s="2" t="s">
        <v>52</v>
      </c>
      <c r="J67" s="2"/>
      <c r="K67" s="2" t="s">
        <v>83</v>
      </c>
      <c r="L67" s="58" t="s">
        <v>84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41"/>
    </row>
    <row r="68" spans="1:24" ht="17.25" customHeight="1" x14ac:dyDescent="0.25">
      <c r="A68" s="5">
        <f t="shared" ref="A68:A131" si="8">C68-D68</f>
        <v>0</v>
      </c>
      <c r="B68" s="5" t="str">
        <f t="shared" ref="B68:B131" si="9">_xlfn.IFS(A68&gt;=5,"V",A68&lt;=-5,"D",A68&lt;=-4.99,"E",A68&lt;=4.99,"E")</f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58" t="s">
        <v>66</v>
      </c>
      <c r="G68" s="2" t="s">
        <v>91</v>
      </c>
      <c r="H68" s="2"/>
      <c r="I68" s="2" t="s">
        <v>52</v>
      </c>
      <c r="J68" s="2"/>
      <c r="K68" s="2" t="s">
        <v>60</v>
      </c>
      <c r="L68" s="58" t="s">
        <v>61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41"/>
    </row>
    <row r="69" spans="1:24" ht="17.25" customHeight="1" x14ac:dyDescent="0.25">
      <c r="A69" s="5">
        <f t="shared" si="8"/>
        <v>0</v>
      </c>
      <c r="B69" s="5" t="str">
        <f t="shared" si="9"/>
        <v>E</v>
      </c>
      <c r="C69" s="5">
        <f t="shared" si="10"/>
        <v>0</v>
      </c>
      <c r="D69" s="5">
        <f t="shared" si="11"/>
        <v>0</v>
      </c>
      <c r="E69" s="4"/>
      <c r="F69" s="58" t="s">
        <v>71</v>
      </c>
      <c r="G69" s="2" t="s">
        <v>100</v>
      </c>
      <c r="H69" s="2"/>
      <c r="I69" s="2" t="s">
        <v>52</v>
      </c>
      <c r="J69" s="2"/>
      <c r="K69" s="2" t="s">
        <v>64</v>
      </c>
      <c r="L69" s="58" t="s">
        <v>65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41"/>
    </row>
    <row r="70" spans="1:24" ht="17.25" customHeight="1" x14ac:dyDescent="0.25">
      <c r="A70" s="5">
        <f t="shared" si="8"/>
        <v>0</v>
      </c>
      <c r="B70" s="5" t="str">
        <f t="shared" si="9"/>
        <v>E</v>
      </c>
      <c r="C70" s="5">
        <f t="shared" si="10"/>
        <v>0</v>
      </c>
      <c r="D70" s="5">
        <f t="shared" si="11"/>
        <v>0</v>
      </c>
      <c r="E70" s="4"/>
      <c r="F70" s="58" t="s">
        <v>79</v>
      </c>
      <c r="G70" s="2" t="s">
        <v>78</v>
      </c>
      <c r="H70" s="2"/>
      <c r="I70" s="2" t="s">
        <v>52</v>
      </c>
      <c r="J70" s="2"/>
      <c r="K70" s="2" t="s">
        <v>62</v>
      </c>
      <c r="L70" s="58" t="s">
        <v>63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42"/>
    </row>
    <row r="71" spans="1:24" ht="17.25" customHeight="1" x14ac:dyDescent="0.25">
      <c r="A71" s="5">
        <f t="shared" si="8"/>
        <v>0</v>
      </c>
      <c r="B71" s="5" t="str">
        <f t="shared" si="9"/>
        <v>E</v>
      </c>
      <c r="C71" s="5">
        <f t="shared" si="10"/>
        <v>0</v>
      </c>
      <c r="D71" s="5">
        <f t="shared" si="11"/>
        <v>0</v>
      </c>
      <c r="E71" s="4"/>
      <c r="F71" s="58" t="s">
        <v>93</v>
      </c>
      <c r="G71" s="2" t="s">
        <v>92</v>
      </c>
      <c r="H71" s="2"/>
      <c r="I71" s="2" t="s">
        <v>52</v>
      </c>
      <c r="J71" s="2"/>
      <c r="K71" s="2" t="s">
        <v>89</v>
      </c>
      <c r="L71" s="58" t="s">
        <v>90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41"/>
    </row>
    <row r="72" spans="1:24" ht="17.25" customHeight="1" x14ac:dyDescent="0.25">
      <c r="A72" s="5">
        <f t="shared" si="8"/>
        <v>0</v>
      </c>
      <c r="B72" s="5" t="str">
        <f t="shared" si="9"/>
        <v>E</v>
      </c>
      <c r="C72" s="5">
        <f t="shared" si="10"/>
        <v>0</v>
      </c>
      <c r="D72" s="5">
        <f t="shared" si="11"/>
        <v>0</v>
      </c>
      <c r="E72" s="4"/>
      <c r="F72" s="58" t="s">
        <v>77</v>
      </c>
      <c r="G72" s="2" t="s">
        <v>76</v>
      </c>
      <c r="H72" s="2"/>
      <c r="I72" s="2" t="s">
        <v>52</v>
      </c>
      <c r="J72" s="2"/>
      <c r="K72" s="71" t="s">
        <v>87</v>
      </c>
      <c r="L72" s="58" t="s">
        <v>88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58" t="s">
        <v>97</v>
      </c>
      <c r="G75" s="2" t="s">
        <v>96</v>
      </c>
      <c r="H75" s="2"/>
      <c r="I75" s="2" t="s">
        <v>52</v>
      </c>
      <c r="J75" s="2"/>
      <c r="K75" s="2" t="s">
        <v>76</v>
      </c>
      <c r="L75" s="58" t="s">
        <v>77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41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58" t="s">
        <v>69</v>
      </c>
      <c r="G76" s="71" t="s">
        <v>70</v>
      </c>
      <c r="H76" s="2"/>
      <c r="I76" s="2" t="s">
        <v>52</v>
      </c>
      <c r="J76" s="2"/>
      <c r="K76" s="2" t="s">
        <v>78</v>
      </c>
      <c r="L76" s="58" t="s">
        <v>79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41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58" t="s">
        <v>65</v>
      </c>
      <c r="G77" s="2" t="s">
        <v>64</v>
      </c>
      <c r="H77" s="2"/>
      <c r="I77" s="2" t="s">
        <v>52</v>
      </c>
      <c r="J77" s="2"/>
      <c r="K77" s="2" t="s">
        <v>80</v>
      </c>
      <c r="L77" s="58" t="s">
        <v>81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41"/>
    </row>
    <row r="78" spans="1:24" ht="17.25" customHeight="1" x14ac:dyDescent="0.25">
      <c r="A78" s="5">
        <f>C78-D78</f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58" t="s">
        <v>72</v>
      </c>
      <c r="G78" s="2" t="s">
        <v>73</v>
      </c>
      <c r="H78" s="2"/>
      <c r="I78" s="2" t="s">
        <v>52</v>
      </c>
      <c r="J78" s="2"/>
      <c r="K78" s="2" t="s">
        <v>98</v>
      </c>
      <c r="L78" s="58" t="s">
        <v>99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41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58" t="s">
        <v>82</v>
      </c>
      <c r="G79" s="2" t="s">
        <v>68</v>
      </c>
      <c r="H79" s="2"/>
      <c r="I79" s="2" t="s">
        <v>52</v>
      </c>
      <c r="J79" s="2"/>
      <c r="K79" s="2" t="s">
        <v>94</v>
      </c>
      <c r="L79" s="58" t="s">
        <v>95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42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58" t="s">
        <v>66</v>
      </c>
      <c r="G80" s="2" t="s">
        <v>91</v>
      </c>
      <c r="H80" s="2"/>
      <c r="I80" s="2" t="s">
        <v>52</v>
      </c>
      <c r="J80" s="2"/>
      <c r="K80" s="2" t="s">
        <v>62</v>
      </c>
      <c r="L80" s="58" t="s">
        <v>63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41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58" t="s">
        <v>71</v>
      </c>
      <c r="G81" s="2" t="s">
        <v>100</v>
      </c>
      <c r="H81" s="2"/>
      <c r="I81" s="2" t="s">
        <v>52</v>
      </c>
      <c r="J81" s="2"/>
      <c r="K81" s="2" t="s">
        <v>85</v>
      </c>
      <c r="L81" s="58" t="s">
        <v>86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41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58" t="s">
        <v>84</v>
      </c>
      <c r="G82" s="2" t="s">
        <v>83</v>
      </c>
      <c r="H82" s="2"/>
      <c r="I82" s="2" t="s">
        <v>52</v>
      </c>
      <c r="J82" s="2"/>
      <c r="K82" s="2" t="s">
        <v>89</v>
      </c>
      <c r="L82" s="58" t="s">
        <v>90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41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58" t="s">
        <v>88</v>
      </c>
      <c r="G83" s="71" t="s">
        <v>87</v>
      </c>
      <c r="H83" s="2"/>
      <c r="I83" s="2" t="s">
        <v>52</v>
      </c>
      <c r="J83" s="2"/>
      <c r="K83" s="2" t="s">
        <v>92</v>
      </c>
      <c r="L83" s="58" t="s">
        <v>93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41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58" t="s">
        <v>61</v>
      </c>
      <c r="G84" s="2" t="s">
        <v>60</v>
      </c>
      <c r="H84" s="2"/>
      <c r="I84" s="2" t="s">
        <v>52</v>
      </c>
      <c r="J84" s="2"/>
      <c r="K84" s="2" t="s">
        <v>75</v>
      </c>
      <c r="L84" s="58" t="s">
        <v>74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58" t="s">
        <v>86</v>
      </c>
      <c r="G87" s="2" t="s">
        <v>85</v>
      </c>
      <c r="H87" s="2"/>
      <c r="I87" s="2" t="s">
        <v>52</v>
      </c>
      <c r="J87" s="2"/>
      <c r="K87" s="2" t="s">
        <v>92</v>
      </c>
      <c r="L87" s="58" t="s">
        <v>93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58" t="s">
        <v>99</v>
      </c>
      <c r="G88" s="2" t="s">
        <v>98</v>
      </c>
      <c r="H88" s="2"/>
      <c r="I88" s="2" t="s">
        <v>52</v>
      </c>
      <c r="J88" s="2"/>
      <c r="K88" s="2" t="s">
        <v>83</v>
      </c>
      <c r="L88" s="58" t="s">
        <v>84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58" t="s">
        <v>95</v>
      </c>
      <c r="G89" s="2" t="s">
        <v>94</v>
      </c>
      <c r="H89" s="2"/>
      <c r="I89" s="2" t="s">
        <v>52</v>
      </c>
      <c r="J89" s="2"/>
      <c r="K89" s="2" t="s">
        <v>96</v>
      </c>
      <c r="L89" s="58" t="s">
        <v>97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58" t="s">
        <v>90</v>
      </c>
      <c r="G90" s="2" t="s">
        <v>89</v>
      </c>
      <c r="H90" s="2"/>
      <c r="I90" s="2" t="s">
        <v>52</v>
      </c>
      <c r="J90" s="2"/>
      <c r="K90" s="2" t="s">
        <v>64</v>
      </c>
      <c r="L90" s="58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58" t="s">
        <v>74</v>
      </c>
      <c r="G91" s="2" t="s">
        <v>75</v>
      </c>
      <c r="H91" s="2"/>
      <c r="I91" s="2" t="s">
        <v>52</v>
      </c>
      <c r="J91" s="2"/>
      <c r="K91" s="71" t="s">
        <v>70</v>
      </c>
      <c r="L91" s="58" t="s">
        <v>69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58" t="s">
        <v>81</v>
      </c>
      <c r="G92" s="2" t="s">
        <v>80</v>
      </c>
      <c r="H92" s="2"/>
      <c r="I92" s="2" t="s">
        <v>52</v>
      </c>
      <c r="J92" s="2"/>
      <c r="K92" s="2" t="s">
        <v>100</v>
      </c>
      <c r="L92" s="58" t="s">
        <v>71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58" t="s">
        <v>63</v>
      </c>
      <c r="G93" s="2" t="s">
        <v>62</v>
      </c>
      <c r="H93" s="2"/>
      <c r="I93" s="2" t="s">
        <v>52</v>
      </c>
      <c r="J93" s="2"/>
      <c r="K93" s="2" t="s">
        <v>60</v>
      </c>
      <c r="L93" s="58" t="s">
        <v>61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58" t="s">
        <v>79</v>
      </c>
      <c r="G94" s="2" t="s">
        <v>78</v>
      </c>
      <c r="H94" s="2"/>
      <c r="I94" s="2" t="s">
        <v>52</v>
      </c>
      <c r="J94" s="2"/>
      <c r="K94" s="2" t="s">
        <v>68</v>
      </c>
      <c r="L94" s="58" t="s">
        <v>82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58" t="s">
        <v>88</v>
      </c>
      <c r="G95" s="71" t="s">
        <v>87</v>
      </c>
      <c r="H95" s="2"/>
      <c r="I95" s="2" t="s">
        <v>52</v>
      </c>
      <c r="J95" s="2"/>
      <c r="K95" s="2" t="s">
        <v>73</v>
      </c>
      <c r="L95" s="58" t="s">
        <v>72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58" t="s">
        <v>77</v>
      </c>
      <c r="G96" s="2" t="s">
        <v>76</v>
      </c>
      <c r="H96" s="2"/>
      <c r="I96" s="2" t="s">
        <v>52</v>
      </c>
      <c r="J96" s="2"/>
      <c r="K96" s="2" t="s">
        <v>91</v>
      </c>
      <c r="L96" s="58" t="s">
        <v>66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58" t="s">
        <v>97</v>
      </c>
      <c r="G99" s="2" t="s">
        <v>96</v>
      </c>
      <c r="H99" s="2"/>
      <c r="I99" s="2" t="s">
        <v>52</v>
      </c>
      <c r="J99" s="2"/>
      <c r="K99" s="2" t="s">
        <v>85</v>
      </c>
      <c r="L99" s="58" t="s">
        <v>86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58" t="s">
        <v>99</v>
      </c>
      <c r="G100" s="2" t="s">
        <v>98</v>
      </c>
      <c r="H100" s="2"/>
      <c r="I100" s="2" t="s">
        <v>52</v>
      </c>
      <c r="J100" s="2"/>
      <c r="K100" s="2" t="s">
        <v>76</v>
      </c>
      <c r="L100" s="58" t="s">
        <v>77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58" t="s">
        <v>95</v>
      </c>
      <c r="G101" s="2" t="s">
        <v>94</v>
      </c>
      <c r="H101" s="2"/>
      <c r="I101" s="2" t="s">
        <v>52</v>
      </c>
      <c r="J101" s="2"/>
      <c r="K101" s="2" t="s">
        <v>89</v>
      </c>
      <c r="L101" s="58" t="s">
        <v>90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58" t="s">
        <v>72</v>
      </c>
      <c r="G102" s="2" t="s">
        <v>73</v>
      </c>
      <c r="H102" s="2"/>
      <c r="I102" s="2" t="s">
        <v>52</v>
      </c>
      <c r="J102" s="2"/>
      <c r="K102" s="2" t="s">
        <v>68</v>
      </c>
      <c r="L102" s="58" t="s">
        <v>82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58" t="s">
        <v>74</v>
      </c>
      <c r="G103" s="2" t="s">
        <v>75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58" t="s">
        <v>81</v>
      </c>
      <c r="G104" s="2" t="s">
        <v>80</v>
      </c>
      <c r="H104" s="2"/>
      <c r="I104" s="2" t="s">
        <v>52</v>
      </c>
      <c r="J104" s="2"/>
      <c r="K104" s="71" t="s">
        <v>87</v>
      </c>
      <c r="L104" s="58" t="s">
        <v>88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58" t="s">
        <v>71</v>
      </c>
      <c r="G105" s="2" t="s">
        <v>100</v>
      </c>
      <c r="H105" s="2"/>
      <c r="I105" s="2" t="s">
        <v>52</v>
      </c>
      <c r="J105" s="2"/>
      <c r="K105" s="2" t="s">
        <v>91</v>
      </c>
      <c r="L105" s="58" t="s">
        <v>66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58" t="s">
        <v>84</v>
      </c>
      <c r="G106" s="2" t="s">
        <v>83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58" t="s">
        <v>93</v>
      </c>
      <c r="G107" s="2" t="s">
        <v>92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78</v>
      </c>
      <c r="L108" s="58" t="s">
        <v>79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58" t="s">
        <v>97</v>
      </c>
      <c r="G111" s="2" t="s">
        <v>96</v>
      </c>
      <c r="H111" s="2"/>
      <c r="I111" s="2" t="s">
        <v>52</v>
      </c>
      <c r="J111" s="2"/>
      <c r="K111" s="2" t="s">
        <v>75</v>
      </c>
      <c r="L111" s="58" t="s">
        <v>74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98</v>
      </c>
      <c r="L112" s="58" t="s">
        <v>99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58" t="s">
        <v>72</v>
      </c>
      <c r="G114" s="2" t="s">
        <v>73</v>
      </c>
      <c r="H114" s="2"/>
      <c r="I114" s="2" t="s">
        <v>52</v>
      </c>
      <c r="J114" s="2"/>
      <c r="K114" s="2" t="s">
        <v>94</v>
      </c>
      <c r="L114" s="58" t="s">
        <v>95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58" t="s">
        <v>82</v>
      </c>
      <c r="G115" s="2" t="s">
        <v>68</v>
      </c>
      <c r="H115" s="2"/>
      <c r="I115" s="2" t="s">
        <v>52</v>
      </c>
      <c r="J115" s="2"/>
      <c r="K115" s="2" t="s">
        <v>89</v>
      </c>
      <c r="L115" s="58" t="s">
        <v>90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58" t="s">
        <v>66</v>
      </c>
      <c r="G116" s="2" t="s">
        <v>91</v>
      </c>
      <c r="H116" s="2"/>
      <c r="I116" s="2" t="s">
        <v>52</v>
      </c>
      <c r="J116" s="2"/>
      <c r="K116" s="2" t="s">
        <v>92</v>
      </c>
      <c r="L116" s="58" t="s">
        <v>93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58" t="s">
        <v>71</v>
      </c>
      <c r="G117" s="2" t="s">
        <v>100</v>
      </c>
      <c r="H117" s="2"/>
      <c r="I117" s="2" t="s">
        <v>52</v>
      </c>
      <c r="J117" s="2"/>
      <c r="K117" s="2" t="s">
        <v>76</v>
      </c>
      <c r="L117" s="58" t="s">
        <v>77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58" t="s">
        <v>84</v>
      </c>
      <c r="G118" s="2" t="s">
        <v>83</v>
      </c>
      <c r="H118" s="2"/>
      <c r="I118" s="2" t="s">
        <v>52</v>
      </c>
      <c r="J118" s="2"/>
      <c r="K118" s="2" t="s">
        <v>78</v>
      </c>
      <c r="L118" s="58" t="s">
        <v>79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58" t="s">
        <v>88</v>
      </c>
      <c r="G119" s="71" t="s">
        <v>87</v>
      </c>
      <c r="H119" s="2"/>
      <c r="I119" s="2" t="s">
        <v>52</v>
      </c>
      <c r="J119" s="2"/>
      <c r="K119" s="2" t="s">
        <v>85</v>
      </c>
      <c r="L119" s="58" t="s">
        <v>86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80</v>
      </c>
      <c r="L120" s="58" t="s">
        <v>81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58" t="s">
        <v>86</v>
      </c>
      <c r="G123" s="2" t="s">
        <v>85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73</v>
      </c>
      <c r="L124" s="58" t="s">
        <v>72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58" t="s">
        <v>95</v>
      </c>
      <c r="G125" s="2" t="s">
        <v>94</v>
      </c>
      <c r="H125" s="2"/>
      <c r="I125" s="2" t="s">
        <v>52</v>
      </c>
      <c r="J125" s="2"/>
      <c r="K125" s="2" t="s">
        <v>83</v>
      </c>
      <c r="L125" s="58" t="s">
        <v>84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58" t="s">
        <v>90</v>
      </c>
      <c r="G126" s="2" t="s">
        <v>89</v>
      </c>
      <c r="H126" s="2"/>
      <c r="I126" s="2" t="s">
        <v>52</v>
      </c>
      <c r="J126" s="2"/>
      <c r="K126" s="71" t="s">
        <v>87</v>
      </c>
      <c r="L126" s="58" t="s">
        <v>88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58" t="s">
        <v>74</v>
      </c>
      <c r="G127" s="2" t="s">
        <v>75</v>
      </c>
      <c r="H127" s="2"/>
      <c r="I127" s="2" t="s">
        <v>52</v>
      </c>
      <c r="J127" s="2"/>
      <c r="K127" s="2" t="s">
        <v>100</v>
      </c>
      <c r="L127" s="58" t="s">
        <v>71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58" t="s">
        <v>66</v>
      </c>
      <c r="G128" s="2" t="s">
        <v>91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96</v>
      </c>
      <c r="L129" s="58" t="s">
        <v>97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79</v>
      </c>
      <c r="G130" s="2" t="s">
        <v>78</v>
      </c>
      <c r="H130" s="2"/>
      <c r="I130" s="2" t="s">
        <v>52</v>
      </c>
      <c r="J130" s="2"/>
      <c r="K130" s="2" t="s">
        <v>98</v>
      </c>
      <c r="L130" s="58" t="s">
        <v>99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58" t="s">
        <v>93</v>
      </c>
      <c r="G131" s="2" t="s">
        <v>92</v>
      </c>
      <c r="H131" s="2"/>
      <c r="I131" s="2" t="s">
        <v>52</v>
      </c>
      <c r="J131" s="2"/>
      <c r="K131" s="2" t="s">
        <v>80</v>
      </c>
      <c r="L131" s="58" t="s">
        <v>81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8" t="s">
        <v>77</v>
      </c>
      <c r="G132" s="2" t="s">
        <v>76</v>
      </c>
      <c r="H132" s="2"/>
      <c r="I132" s="2" t="s">
        <v>52</v>
      </c>
      <c r="J132" s="2"/>
      <c r="K132" s="2" t="s">
        <v>68</v>
      </c>
      <c r="L132" s="58" t="s">
        <v>82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97</v>
      </c>
      <c r="G135" s="2" t="s">
        <v>96</v>
      </c>
      <c r="H135" s="2"/>
      <c r="I135" s="2" t="s">
        <v>52</v>
      </c>
      <c r="J135" s="2"/>
      <c r="K135" s="2" t="s">
        <v>78</v>
      </c>
      <c r="L135" s="58" t="s">
        <v>79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99</v>
      </c>
      <c r="G136" s="2" t="s">
        <v>98</v>
      </c>
      <c r="H136" s="2"/>
      <c r="I136" s="2" t="s">
        <v>52</v>
      </c>
      <c r="J136" s="2"/>
      <c r="K136" s="2" t="s">
        <v>89</v>
      </c>
      <c r="L136" s="58" t="s">
        <v>90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85</v>
      </c>
      <c r="L137" s="58" t="s">
        <v>86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72</v>
      </c>
      <c r="G138" s="2" t="s">
        <v>73</v>
      </c>
      <c r="H138" s="2"/>
      <c r="I138" s="2" t="s">
        <v>52</v>
      </c>
      <c r="J138" s="2"/>
      <c r="K138" s="2" t="s">
        <v>92</v>
      </c>
      <c r="L138" s="58" t="s">
        <v>93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82</v>
      </c>
      <c r="G139" s="2" t="s">
        <v>68</v>
      </c>
      <c r="H139" s="2"/>
      <c r="I139" s="2" t="s">
        <v>52</v>
      </c>
      <c r="J139" s="2"/>
      <c r="K139" s="2" t="s">
        <v>91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81</v>
      </c>
      <c r="G140" s="2" t="s">
        <v>80</v>
      </c>
      <c r="H140" s="2"/>
      <c r="I140" s="2" t="s">
        <v>52</v>
      </c>
      <c r="J140" s="2"/>
      <c r="K140" s="2" t="s">
        <v>94</v>
      </c>
      <c r="L140" s="58" t="s">
        <v>95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75</v>
      </c>
      <c r="L141" s="58" t="s">
        <v>74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84</v>
      </c>
      <c r="G142" s="2" t="s">
        <v>83</v>
      </c>
      <c r="H142" s="2"/>
      <c r="I142" s="2" t="s">
        <v>52</v>
      </c>
      <c r="J142" s="2"/>
      <c r="K142" s="2" t="s">
        <v>100</v>
      </c>
      <c r="L142" s="58" t="s">
        <v>71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88</v>
      </c>
      <c r="G143" s="71" t="s">
        <v>87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77</v>
      </c>
      <c r="G144" s="2" t="s">
        <v>76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86</v>
      </c>
      <c r="G147" s="2" t="s">
        <v>85</v>
      </c>
      <c r="H147" s="2"/>
      <c r="I147" s="2" t="s">
        <v>52</v>
      </c>
      <c r="J147" s="2"/>
      <c r="K147" s="2" t="s">
        <v>83</v>
      </c>
      <c r="L147" s="58" t="s">
        <v>84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96</v>
      </c>
      <c r="L148" s="58" t="s">
        <v>97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87</v>
      </c>
      <c r="L149" s="58" t="s">
        <v>88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90</v>
      </c>
      <c r="G150" s="2" t="s">
        <v>89</v>
      </c>
      <c r="H150" s="2"/>
      <c r="I150" s="2" t="s">
        <v>52</v>
      </c>
      <c r="J150" s="2"/>
      <c r="K150" s="2" t="s">
        <v>75</v>
      </c>
      <c r="L150" s="58" t="s">
        <v>74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82</v>
      </c>
      <c r="G151" s="2" t="s">
        <v>68</v>
      </c>
      <c r="H151" s="2"/>
      <c r="I151" s="2" t="s">
        <v>52</v>
      </c>
      <c r="J151" s="2"/>
      <c r="K151" s="2" t="s">
        <v>98</v>
      </c>
      <c r="L151" s="58" t="s">
        <v>99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91</v>
      </c>
      <c r="H152" s="2"/>
      <c r="I152" s="2" t="s">
        <v>52</v>
      </c>
      <c r="J152" s="2"/>
      <c r="K152" s="2" t="s">
        <v>80</v>
      </c>
      <c r="L152" s="58" t="s">
        <v>81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71</v>
      </c>
      <c r="G153" s="2" t="s">
        <v>100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79</v>
      </c>
      <c r="G154" s="2" t="s">
        <v>78</v>
      </c>
      <c r="H154" s="2"/>
      <c r="I154" s="2" t="s">
        <v>52</v>
      </c>
      <c r="J154" s="2"/>
      <c r="K154" s="2" t="s">
        <v>94</v>
      </c>
      <c r="L154" s="58" t="s">
        <v>95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93</v>
      </c>
      <c r="G155" s="2" t="s">
        <v>92</v>
      </c>
      <c r="H155" s="2"/>
      <c r="I155" s="2" t="s">
        <v>52</v>
      </c>
      <c r="J155" s="2"/>
      <c r="K155" s="2" t="s">
        <v>76</v>
      </c>
      <c r="L155" s="58" t="s">
        <v>77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73</v>
      </c>
      <c r="L156" s="58" t="s">
        <v>72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86</v>
      </c>
      <c r="G159" s="2" t="s">
        <v>85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95</v>
      </c>
      <c r="G161" s="2" t="s">
        <v>94</v>
      </c>
      <c r="H161" s="2"/>
      <c r="I161" s="2" t="s">
        <v>52</v>
      </c>
      <c r="J161" s="2"/>
      <c r="K161" s="2" t="s">
        <v>76</v>
      </c>
      <c r="L161" s="58" t="s">
        <v>77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90</v>
      </c>
      <c r="G162" s="2" t="s">
        <v>89</v>
      </c>
      <c r="H162" s="2"/>
      <c r="I162" s="2" t="s">
        <v>52</v>
      </c>
      <c r="J162" s="2"/>
      <c r="K162" s="2" t="s">
        <v>80</v>
      </c>
      <c r="L162" s="58" t="s">
        <v>81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74</v>
      </c>
      <c r="G163" s="2" t="s">
        <v>75</v>
      </c>
      <c r="H163" s="2"/>
      <c r="I163" s="2" t="s">
        <v>52</v>
      </c>
      <c r="J163" s="2"/>
      <c r="K163" s="2" t="s">
        <v>73</v>
      </c>
      <c r="L163" s="58" t="s">
        <v>72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91</v>
      </c>
      <c r="H164" s="2"/>
      <c r="I164" s="2" t="s">
        <v>52</v>
      </c>
      <c r="J164" s="2"/>
      <c r="K164" s="2" t="s">
        <v>78</v>
      </c>
      <c r="L164" s="58" t="s">
        <v>79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71</v>
      </c>
      <c r="G165" s="2" t="s">
        <v>100</v>
      </c>
      <c r="H165" s="2"/>
      <c r="I165" s="2" t="s">
        <v>52</v>
      </c>
      <c r="J165" s="2"/>
      <c r="K165" s="2" t="s">
        <v>98</v>
      </c>
      <c r="L165" s="58" t="s">
        <v>99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84</v>
      </c>
      <c r="G166" s="2" t="s">
        <v>83</v>
      </c>
      <c r="H166" s="2"/>
      <c r="I166" s="2" t="s">
        <v>52</v>
      </c>
      <c r="J166" s="2"/>
      <c r="K166" s="71" t="s">
        <v>87</v>
      </c>
      <c r="L166" s="58" t="s">
        <v>88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93</v>
      </c>
      <c r="G167" s="2" t="s">
        <v>92</v>
      </c>
      <c r="H167" s="2"/>
      <c r="I167" s="2" t="s">
        <v>52</v>
      </c>
      <c r="J167" s="2"/>
      <c r="K167" s="2" t="s">
        <v>68</v>
      </c>
      <c r="L167" s="58" t="s">
        <v>82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96</v>
      </c>
      <c r="L168" s="58" t="s">
        <v>97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97</v>
      </c>
      <c r="G171" s="2" t="s">
        <v>96</v>
      </c>
      <c r="H171" s="2"/>
      <c r="I171" s="2" t="s">
        <v>52</v>
      </c>
      <c r="J171" s="2"/>
      <c r="K171" s="2" t="s">
        <v>100</v>
      </c>
      <c r="L171" s="58" t="s">
        <v>71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99</v>
      </c>
      <c r="G172" s="2" t="s">
        <v>98</v>
      </c>
      <c r="H172" s="2"/>
      <c r="I172" s="2" t="s">
        <v>52</v>
      </c>
      <c r="J172" s="2"/>
      <c r="K172" s="2" t="s">
        <v>85</v>
      </c>
      <c r="L172" s="58" t="s">
        <v>86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94</v>
      </c>
      <c r="L173" s="58" t="s">
        <v>95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72</v>
      </c>
      <c r="G174" s="2" t="s">
        <v>73</v>
      </c>
      <c r="H174" s="2"/>
      <c r="I174" s="2" t="s">
        <v>52</v>
      </c>
      <c r="J174" s="2"/>
      <c r="K174" s="2" t="s">
        <v>91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82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81</v>
      </c>
      <c r="G176" s="2" t="s">
        <v>80</v>
      </c>
      <c r="H176" s="2"/>
      <c r="I176" s="2" t="s">
        <v>52</v>
      </c>
      <c r="J176" s="2"/>
      <c r="K176" s="2" t="s">
        <v>83</v>
      </c>
      <c r="L176" s="58" t="s">
        <v>84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79</v>
      </c>
      <c r="G178" s="2" t="s">
        <v>78</v>
      </c>
      <c r="H178" s="2"/>
      <c r="I178" s="2" t="s">
        <v>52</v>
      </c>
      <c r="J178" s="2"/>
      <c r="K178" s="2" t="s">
        <v>92</v>
      </c>
      <c r="L178" s="58" t="s">
        <v>93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88</v>
      </c>
      <c r="G179" s="71" t="s">
        <v>87</v>
      </c>
      <c r="H179" s="2"/>
      <c r="I179" s="2" t="s">
        <v>52</v>
      </c>
      <c r="J179" s="2"/>
      <c r="K179" s="2" t="s">
        <v>75</v>
      </c>
      <c r="L179" s="58" t="s">
        <v>74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77</v>
      </c>
      <c r="G180" s="2" t="s">
        <v>76</v>
      </c>
      <c r="H180" s="2"/>
      <c r="I180" s="2" t="s">
        <v>52</v>
      </c>
      <c r="J180" s="2"/>
      <c r="K180" s="2" t="s">
        <v>89</v>
      </c>
      <c r="L180" s="58" t="s">
        <v>90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86</v>
      </c>
      <c r="G183" s="2" t="s">
        <v>85</v>
      </c>
      <c r="H183" s="2"/>
      <c r="I183" s="2" t="s">
        <v>52</v>
      </c>
      <c r="J183" s="2"/>
      <c r="K183" s="2" t="s">
        <v>89</v>
      </c>
      <c r="L183" s="58" t="s">
        <v>90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99</v>
      </c>
      <c r="G184" s="2" t="s">
        <v>98</v>
      </c>
      <c r="H184" s="2"/>
      <c r="I184" s="2" t="s">
        <v>52</v>
      </c>
      <c r="J184" s="2"/>
      <c r="K184" s="2" t="s">
        <v>92</v>
      </c>
      <c r="L184" s="58" t="s">
        <v>93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78</v>
      </c>
      <c r="L185" s="58" t="s">
        <v>79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72</v>
      </c>
      <c r="G186" s="2" t="s">
        <v>73</v>
      </c>
      <c r="H186" s="2"/>
      <c r="I186" s="2" t="s">
        <v>52</v>
      </c>
      <c r="J186" s="2"/>
      <c r="K186" s="2" t="s">
        <v>76</v>
      </c>
      <c r="L186" s="58" t="s">
        <v>77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82</v>
      </c>
      <c r="G187" s="2" t="s">
        <v>68</v>
      </c>
      <c r="H187" s="2"/>
      <c r="I187" s="2" t="s">
        <v>52</v>
      </c>
      <c r="J187" s="2"/>
      <c r="K187" s="2" t="s">
        <v>96</v>
      </c>
      <c r="L187" s="58" t="s">
        <v>97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91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80</v>
      </c>
      <c r="L189" s="58" t="s">
        <v>81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84</v>
      </c>
      <c r="G190" s="2" t="s">
        <v>83</v>
      </c>
      <c r="H190" s="2"/>
      <c r="I190" s="2" t="s">
        <v>52</v>
      </c>
      <c r="J190" s="2"/>
      <c r="K190" s="2" t="s">
        <v>75</v>
      </c>
      <c r="L190" s="58" t="s">
        <v>74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88</v>
      </c>
      <c r="G191" s="71" t="s">
        <v>87</v>
      </c>
      <c r="H191" s="2"/>
      <c r="I191" s="2" t="s">
        <v>52</v>
      </c>
      <c r="J191" s="2"/>
      <c r="K191" s="2" t="s">
        <v>94</v>
      </c>
      <c r="L191" s="58" t="s">
        <v>95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100</v>
      </c>
      <c r="L192" s="58" t="s">
        <v>71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97</v>
      </c>
      <c r="G195" s="2" t="s">
        <v>96</v>
      </c>
      <c r="H195" s="2"/>
      <c r="I195" s="2" t="s">
        <v>52</v>
      </c>
      <c r="J195" s="2"/>
      <c r="K195" s="71" t="s">
        <v>87</v>
      </c>
      <c r="L195" s="58" t="s">
        <v>88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95</v>
      </c>
      <c r="G197" s="2" t="s">
        <v>94</v>
      </c>
      <c r="H197" s="2"/>
      <c r="I197" s="2" t="s">
        <v>52</v>
      </c>
      <c r="J197" s="2"/>
      <c r="K197" s="2" t="s">
        <v>91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90</v>
      </c>
      <c r="G198" s="2" t="s">
        <v>89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74</v>
      </c>
      <c r="G199" s="2" t="s">
        <v>75</v>
      </c>
      <c r="H199" s="2"/>
      <c r="I199" s="2" t="s">
        <v>52</v>
      </c>
      <c r="J199" s="2"/>
      <c r="K199" s="2" t="s">
        <v>85</v>
      </c>
      <c r="L199" s="58" t="s">
        <v>86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81</v>
      </c>
      <c r="G200" s="2" t="s">
        <v>80</v>
      </c>
      <c r="H200" s="2"/>
      <c r="I200" s="2" t="s">
        <v>52</v>
      </c>
      <c r="J200" s="2"/>
      <c r="K200" s="2" t="s">
        <v>98</v>
      </c>
      <c r="L200" s="58" t="s">
        <v>99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71</v>
      </c>
      <c r="G201" s="2" t="s">
        <v>100</v>
      </c>
      <c r="H201" s="2"/>
      <c r="I201" s="2" t="s">
        <v>52</v>
      </c>
      <c r="J201" s="2"/>
      <c r="K201" s="2" t="s">
        <v>68</v>
      </c>
      <c r="L201" s="58" t="s">
        <v>82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79</v>
      </c>
      <c r="G202" s="2" t="s">
        <v>78</v>
      </c>
      <c r="H202" s="2"/>
      <c r="I202" s="2" t="s">
        <v>52</v>
      </c>
      <c r="J202" s="2"/>
      <c r="K202" s="2" t="s">
        <v>73</v>
      </c>
      <c r="L202" s="58" t="s">
        <v>72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93</v>
      </c>
      <c r="G203" s="2" t="s">
        <v>92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77</v>
      </c>
      <c r="G204" s="2" t="s">
        <v>76</v>
      </c>
      <c r="H204" s="2"/>
      <c r="I204" s="2" t="s">
        <v>52</v>
      </c>
      <c r="J204" s="2"/>
      <c r="K204" s="2" t="s">
        <v>83</v>
      </c>
      <c r="L204" s="58" t="s">
        <v>84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97</v>
      </c>
      <c r="G207" s="2" t="s">
        <v>96</v>
      </c>
      <c r="H207" s="2"/>
      <c r="I207" s="2" t="s">
        <v>52</v>
      </c>
      <c r="J207" s="2"/>
      <c r="K207" s="2" t="s">
        <v>73</v>
      </c>
      <c r="L207" s="58" t="s">
        <v>72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99</v>
      </c>
      <c r="G208" s="2" t="s">
        <v>98</v>
      </c>
      <c r="H208" s="2"/>
      <c r="I208" s="2" t="s">
        <v>52</v>
      </c>
      <c r="J208" s="2"/>
      <c r="K208" s="2" t="s">
        <v>75</v>
      </c>
      <c r="L208" s="58" t="s">
        <v>74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95</v>
      </c>
      <c r="G209" s="2" t="s">
        <v>94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90</v>
      </c>
      <c r="G210" s="2" t="s">
        <v>89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82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81</v>
      </c>
      <c r="G212" s="2" t="s">
        <v>80</v>
      </c>
      <c r="H212" s="2"/>
      <c r="I212" s="2" t="s">
        <v>52</v>
      </c>
      <c r="J212" s="2"/>
      <c r="K212" s="2" t="s">
        <v>85</v>
      </c>
      <c r="L212" s="58" t="s">
        <v>86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71</v>
      </c>
      <c r="G213" s="2" t="s">
        <v>100</v>
      </c>
      <c r="H213" s="2"/>
      <c r="I213" s="2" t="s">
        <v>52</v>
      </c>
      <c r="J213" s="2"/>
      <c r="K213" s="2" t="s">
        <v>92</v>
      </c>
      <c r="L213" s="58" t="s">
        <v>93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84</v>
      </c>
      <c r="G214" s="2" t="s">
        <v>83</v>
      </c>
      <c r="H214" s="2"/>
      <c r="I214" s="2" t="s">
        <v>52</v>
      </c>
      <c r="J214" s="2"/>
      <c r="K214" s="2" t="s">
        <v>91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88</v>
      </c>
      <c r="G215" s="71" t="s">
        <v>87</v>
      </c>
      <c r="H215" s="2"/>
      <c r="I215" s="2" t="s">
        <v>52</v>
      </c>
      <c r="J215" s="2"/>
      <c r="K215" s="2" t="s">
        <v>78</v>
      </c>
      <c r="L215" s="58" t="s">
        <v>79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77</v>
      </c>
      <c r="G216" s="2" t="s">
        <v>76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86</v>
      </c>
      <c r="G219" s="2" t="s">
        <v>85</v>
      </c>
      <c r="H219" s="2"/>
      <c r="I219" s="2" t="s">
        <v>52</v>
      </c>
      <c r="J219" s="67"/>
      <c r="K219" s="2" t="s">
        <v>94</v>
      </c>
      <c r="L219" s="58" t="s">
        <v>95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87</v>
      </c>
      <c r="L220" s="58" t="s">
        <v>88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82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72</v>
      </c>
      <c r="G222" s="2" t="s">
        <v>73</v>
      </c>
      <c r="H222" s="67"/>
      <c r="I222" s="2" t="s">
        <v>52</v>
      </c>
      <c r="J222" s="67"/>
      <c r="K222" s="2" t="s">
        <v>100</v>
      </c>
      <c r="L222" s="58" t="s">
        <v>71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74</v>
      </c>
      <c r="G223" s="2" t="s">
        <v>75</v>
      </c>
      <c r="H223" s="67"/>
      <c r="I223" s="2" t="s">
        <v>52</v>
      </c>
      <c r="J223" s="67"/>
      <c r="K223" s="2" t="s">
        <v>80</v>
      </c>
      <c r="L223" s="58" t="s">
        <v>81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91</v>
      </c>
      <c r="H224" s="67"/>
      <c r="I224" s="2" t="s">
        <v>52</v>
      </c>
      <c r="J224" s="67"/>
      <c r="K224" s="2" t="s">
        <v>89</v>
      </c>
      <c r="L224" s="58" t="s">
        <v>90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83</v>
      </c>
      <c r="L225" s="58" t="s">
        <v>84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79</v>
      </c>
      <c r="G226" s="2" t="s">
        <v>78</v>
      </c>
      <c r="H226" s="67"/>
      <c r="I226" s="2" t="s">
        <v>52</v>
      </c>
      <c r="J226" s="67"/>
      <c r="K226" s="2" t="s">
        <v>76</v>
      </c>
      <c r="L226" s="58" t="s">
        <v>77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93</v>
      </c>
      <c r="G227" s="2" t="s">
        <v>92</v>
      </c>
      <c r="H227" s="2"/>
      <c r="I227" s="2" t="s">
        <v>52</v>
      </c>
      <c r="J227" s="2"/>
      <c r="K227" s="2" t="s">
        <v>96</v>
      </c>
      <c r="L227" s="58" t="s">
        <v>97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98</v>
      </c>
      <c r="L228" s="58" t="s">
        <v>99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13</v>
      </c>
      <c r="Z239" s="18">
        <f t="shared" si="32"/>
        <v>5</v>
      </c>
      <c r="AA239" s="18">
        <f t="shared" si="32"/>
        <v>4</v>
      </c>
      <c r="AB239" s="18">
        <f t="shared" si="32"/>
        <v>1</v>
      </c>
      <c r="AC239" s="18">
        <f t="shared" si="32"/>
        <v>0</v>
      </c>
      <c r="AD239" s="18">
        <f t="shared" si="32"/>
        <v>522.25</v>
      </c>
      <c r="AE239" s="18">
        <f t="shared" si="32"/>
        <v>393.75</v>
      </c>
      <c r="AF239" s="23">
        <f t="shared" si="32"/>
        <v>128.5</v>
      </c>
      <c r="AG239" s="32">
        <f t="shared" si="32"/>
        <v>104.45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Sociedad Football</v>
      </c>
      <c r="Y240" s="29">
        <f t="shared" si="32"/>
        <v>13</v>
      </c>
      <c r="Z240" s="29">
        <f t="shared" si="32"/>
        <v>5</v>
      </c>
      <c r="AA240" s="29">
        <f t="shared" si="32"/>
        <v>4</v>
      </c>
      <c r="AB240" s="29">
        <f t="shared" si="32"/>
        <v>1</v>
      </c>
      <c r="AC240" s="29">
        <f t="shared" si="32"/>
        <v>0</v>
      </c>
      <c r="AD240" s="29">
        <f t="shared" si="32"/>
        <v>428.96</v>
      </c>
      <c r="AE240" s="29">
        <f t="shared" si="32"/>
        <v>317</v>
      </c>
      <c r="AF240" s="24">
        <f t="shared" si="32"/>
        <v>111.95999999999998</v>
      </c>
      <c r="AG240" s="33">
        <f t="shared" si="32"/>
        <v>85.792000000000002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12</v>
      </c>
      <c r="Z241" s="29">
        <f t="shared" si="32"/>
        <v>5</v>
      </c>
      <c r="AA241" s="29">
        <f t="shared" si="32"/>
        <v>4</v>
      </c>
      <c r="AB241" s="29">
        <f t="shared" si="32"/>
        <v>0</v>
      </c>
      <c r="AC241" s="29">
        <f t="shared" si="32"/>
        <v>1</v>
      </c>
      <c r="AD241" s="29">
        <f t="shared" si="32"/>
        <v>481.71000000000004</v>
      </c>
      <c r="AE241" s="29">
        <f t="shared" si="32"/>
        <v>381.04999999999995</v>
      </c>
      <c r="AF241" s="24">
        <f t="shared" si="32"/>
        <v>100.66000000000008</v>
      </c>
      <c r="AG241" s="33">
        <f t="shared" si="32"/>
        <v>96.342000000000013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maurícioriachesse</v>
      </c>
      <c r="Y242" s="29">
        <f t="shared" si="32"/>
        <v>12</v>
      </c>
      <c r="Z242" s="29">
        <f t="shared" si="32"/>
        <v>5</v>
      </c>
      <c r="AA242" s="29">
        <f t="shared" si="32"/>
        <v>4</v>
      </c>
      <c r="AB242" s="29">
        <f t="shared" si="32"/>
        <v>0</v>
      </c>
      <c r="AC242" s="29">
        <f t="shared" si="32"/>
        <v>1</v>
      </c>
      <c r="AD242" s="29">
        <f t="shared" si="32"/>
        <v>494.79999999999995</v>
      </c>
      <c r="AE242" s="29">
        <f t="shared" si="32"/>
        <v>419.46</v>
      </c>
      <c r="AF242" s="24">
        <f t="shared" si="32"/>
        <v>75.339999999999975</v>
      </c>
      <c r="AG242" s="33">
        <f t="shared" si="32"/>
        <v>98.96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Racionais FC_81</v>
      </c>
      <c r="Y243" s="30">
        <f t="shared" si="32"/>
        <v>10</v>
      </c>
      <c r="Z243" s="30">
        <f t="shared" si="32"/>
        <v>5</v>
      </c>
      <c r="AA243" s="30">
        <f t="shared" si="32"/>
        <v>3</v>
      </c>
      <c r="AB243" s="30">
        <f t="shared" si="32"/>
        <v>1</v>
      </c>
      <c r="AC243" s="30">
        <f t="shared" si="32"/>
        <v>1</v>
      </c>
      <c r="AD243" s="30">
        <f t="shared" si="32"/>
        <v>418.08</v>
      </c>
      <c r="AE243" s="30">
        <f t="shared" si="32"/>
        <v>283.52999999999997</v>
      </c>
      <c r="AF243" s="25">
        <f t="shared" si="32"/>
        <v>134.55000000000001</v>
      </c>
      <c r="AG243" s="33">
        <f t="shared" si="32"/>
        <v>83.616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Camuri futebol club</v>
      </c>
      <c r="Y244" s="30">
        <f t="shared" si="32"/>
        <v>9</v>
      </c>
      <c r="Z244" s="30">
        <f t="shared" si="32"/>
        <v>5</v>
      </c>
      <c r="AA244" s="30">
        <f t="shared" si="32"/>
        <v>2</v>
      </c>
      <c r="AB244" s="30">
        <f t="shared" si="32"/>
        <v>3</v>
      </c>
      <c r="AC244" s="30">
        <f t="shared" si="32"/>
        <v>0</v>
      </c>
      <c r="AD244" s="30">
        <f t="shared" si="32"/>
        <v>426.97</v>
      </c>
      <c r="AE244" s="30">
        <f t="shared" si="32"/>
        <v>344.93</v>
      </c>
      <c r="AF244" s="25">
        <f t="shared" si="32"/>
        <v>82.04000000000002</v>
      </c>
      <c r="AG244" s="33">
        <f t="shared" si="32"/>
        <v>85.394000000000005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SEPalmeiras Imponente</v>
      </c>
      <c r="Y245" s="30">
        <f t="shared" si="32"/>
        <v>8</v>
      </c>
      <c r="Z245" s="30">
        <f t="shared" si="32"/>
        <v>5</v>
      </c>
      <c r="AA245" s="30">
        <f t="shared" si="32"/>
        <v>2</v>
      </c>
      <c r="AB245" s="30">
        <f t="shared" si="32"/>
        <v>2</v>
      </c>
      <c r="AC245" s="30">
        <f t="shared" si="32"/>
        <v>1</v>
      </c>
      <c r="AD245" s="30">
        <f t="shared" si="32"/>
        <v>425.53999999999996</v>
      </c>
      <c r="AE245" s="30">
        <f t="shared" si="32"/>
        <v>435.08000000000004</v>
      </c>
      <c r="AF245" s="25">
        <f t="shared" si="32"/>
        <v>-9.5400000000000773</v>
      </c>
      <c r="AG245" s="33">
        <f t="shared" si="32"/>
        <v>85.10799999999999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Louco Fc 01</v>
      </c>
      <c r="Y246" s="30">
        <f t="shared" si="32"/>
        <v>7</v>
      </c>
      <c r="Z246" s="30">
        <f t="shared" si="32"/>
        <v>5</v>
      </c>
      <c r="AA246" s="30">
        <f t="shared" si="32"/>
        <v>2</v>
      </c>
      <c r="AB246" s="30">
        <f t="shared" si="32"/>
        <v>1</v>
      </c>
      <c r="AC246" s="30">
        <f t="shared" si="32"/>
        <v>2</v>
      </c>
      <c r="AD246" s="30">
        <f t="shared" si="32"/>
        <v>426.94000000000005</v>
      </c>
      <c r="AE246" s="30">
        <f t="shared" si="32"/>
        <v>386.56</v>
      </c>
      <c r="AF246" s="25">
        <f t="shared" si="32"/>
        <v>40.380000000000052</v>
      </c>
      <c r="AG246" s="33">
        <f t="shared" si="32"/>
        <v>85.388000000000005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timão.riacho.FC.13</v>
      </c>
      <c r="Y247" s="30">
        <f t="shared" si="32"/>
        <v>7</v>
      </c>
      <c r="Z247" s="30">
        <f t="shared" si="32"/>
        <v>5</v>
      </c>
      <c r="AA247" s="30">
        <f t="shared" si="32"/>
        <v>2</v>
      </c>
      <c r="AB247" s="30">
        <f t="shared" si="32"/>
        <v>1</v>
      </c>
      <c r="AC247" s="30">
        <f t="shared" si="32"/>
        <v>2</v>
      </c>
      <c r="AD247" s="30">
        <f t="shared" si="32"/>
        <v>338.08</v>
      </c>
      <c r="AE247" s="30">
        <f t="shared" si="32"/>
        <v>308.15000000000003</v>
      </c>
      <c r="AF247" s="25">
        <f t="shared" si="32"/>
        <v>29.92999999999995</v>
      </c>
      <c r="AG247" s="33">
        <f t="shared" si="32"/>
        <v>67.616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KORINCHASU</v>
      </c>
      <c r="Y248" s="30">
        <f t="shared" si="32"/>
        <v>7</v>
      </c>
      <c r="Z248" s="30">
        <f t="shared" si="32"/>
        <v>5</v>
      </c>
      <c r="AA248" s="30">
        <f t="shared" si="32"/>
        <v>2</v>
      </c>
      <c r="AB248" s="30">
        <f t="shared" si="32"/>
        <v>1</v>
      </c>
      <c r="AC248" s="30">
        <f t="shared" si="32"/>
        <v>2</v>
      </c>
      <c r="AD248" s="30">
        <f t="shared" si="32"/>
        <v>469.15</v>
      </c>
      <c r="AE248" s="30">
        <f t="shared" si="32"/>
        <v>462.78</v>
      </c>
      <c r="AF248" s="25">
        <f t="shared" si="32"/>
        <v>6.3700000000000045</v>
      </c>
      <c r="AG248" s="33">
        <f t="shared" si="32"/>
        <v>93.83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Álef Pitbull</v>
      </c>
      <c r="Y249" s="30">
        <f t="shared" si="32"/>
        <v>7</v>
      </c>
      <c r="Z249" s="30">
        <f t="shared" si="32"/>
        <v>5</v>
      </c>
      <c r="AA249" s="30">
        <f t="shared" si="32"/>
        <v>2</v>
      </c>
      <c r="AB249" s="30">
        <f t="shared" si="32"/>
        <v>1</v>
      </c>
      <c r="AC249" s="30">
        <f t="shared" si="32"/>
        <v>2</v>
      </c>
      <c r="AD249" s="30">
        <f t="shared" si="32"/>
        <v>403.46</v>
      </c>
      <c r="AE249" s="30">
        <f t="shared" si="32"/>
        <v>425.94</v>
      </c>
      <c r="AF249" s="25">
        <f t="shared" si="32"/>
        <v>-22.480000000000018</v>
      </c>
      <c r="AG249" s="33">
        <f t="shared" si="32"/>
        <v>80.691999999999993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pikachu 34</v>
      </c>
      <c r="Y250" s="30">
        <f t="shared" si="32"/>
        <v>7</v>
      </c>
      <c r="Z250" s="30">
        <f t="shared" si="32"/>
        <v>5</v>
      </c>
      <c r="AA250" s="30">
        <f t="shared" si="32"/>
        <v>1</v>
      </c>
      <c r="AB250" s="30">
        <f t="shared" si="32"/>
        <v>4</v>
      </c>
      <c r="AC250" s="30">
        <f t="shared" si="32"/>
        <v>0</v>
      </c>
      <c r="AD250" s="30">
        <f t="shared" si="32"/>
        <v>454.26</v>
      </c>
      <c r="AE250" s="30">
        <f t="shared" si="32"/>
        <v>374.69</v>
      </c>
      <c r="AF250" s="25">
        <f t="shared" si="32"/>
        <v>79.569999999999993</v>
      </c>
      <c r="AG250" s="33">
        <f t="shared" si="32"/>
        <v>90.852000000000004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Contenda 1995 Fc</v>
      </c>
      <c r="Y251" s="30">
        <f t="shared" si="32"/>
        <v>6</v>
      </c>
      <c r="Z251" s="30">
        <f t="shared" si="32"/>
        <v>5</v>
      </c>
      <c r="AA251" s="30">
        <f t="shared" si="32"/>
        <v>2</v>
      </c>
      <c r="AB251" s="30">
        <f t="shared" si="32"/>
        <v>0</v>
      </c>
      <c r="AC251" s="30">
        <f t="shared" si="32"/>
        <v>3</v>
      </c>
      <c r="AD251" s="30">
        <f t="shared" si="32"/>
        <v>290.02</v>
      </c>
      <c r="AE251" s="30">
        <f t="shared" si="32"/>
        <v>299.90999999999997</v>
      </c>
      <c r="AF251" s="25">
        <f t="shared" si="32"/>
        <v>-9.8899999999999864</v>
      </c>
      <c r="AG251" s="33">
        <f t="shared" si="32"/>
        <v>58.003999999999998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Wake Wake Fc98</v>
      </c>
      <c r="Y252" s="30">
        <f t="shared" si="32"/>
        <v>5</v>
      </c>
      <c r="Z252" s="30">
        <f t="shared" si="32"/>
        <v>5</v>
      </c>
      <c r="AA252" s="30">
        <f t="shared" si="32"/>
        <v>1</v>
      </c>
      <c r="AB252" s="30">
        <f t="shared" si="32"/>
        <v>2</v>
      </c>
      <c r="AC252" s="30">
        <f t="shared" si="32"/>
        <v>2</v>
      </c>
      <c r="AD252" s="30">
        <f t="shared" si="32"/>
        <v>425.97</v>
      </c>
      <c r="AE252" s="30">
        <f t="shared" si="32"/>
        <v>429.90999999999997</v>
      </c>
      <c r="AF252" s="25">
        <f t="shared" si="32"/>
        <v>-3.9399999999999409</v>
      </c>
      <c r="AG252" s="33">
        <f t="shared" si="32"/>
        <v>85.194000000000003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FJM Miranda FC</v>
      </c>
      <c r="Y253" s="30">
        <f t="shared" si="32"/>
        <v>4</v>
      </c>
      <c r="Z253" s="30">
        <f t="shared" si="32"/>
        <v>5</v>
      </c>
      <c r="AA253" s="30">
        <f t="shared" si="32"/>
        <v>1</v>
      </c>
      <c r="AB253" s="30">
        <f t="shared" si="32"/>
        <v>1</v>
      </c>
      <c r="AC253" s="30">
        <f t="shared" si="32"/>
        <v>3</v>
      </c>
      <c r="AD253" s="30">
        <f t="shared" si="32"/>
        <v>280.76</v>
      </c>
      <c r="AE253" s="30">
        <f t="shared" si="32"/>
        <v>341.78999999999996</v>
      </c>
      <c r="AF253" s="25">
        <f t="shared" si="32"/>
        <v>-61.029999999999973</v>
      </c>
      <c r="AG253" s="33">
        <f t="shared" si="32"/>
        <v>56.152000000000001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Patativa Celeste FC</v>
      </c>
      <c r="Y254" s="30">
        <f t="shared" si="32"/>
        <v>4</v>
      </c>
      <c r="Z254" s="30">
        <f t="shared" si="32"/>
        <v>5</v>
      </c>
      <c r="AA254" s="30">
        <f t="shared" si="32"/>
        <v>1</v>
      </c>
      <c r="AB254" s="30">
        <f t="shared" si="32"/>
        <v>1</v>
      </c>
      <c r="AC254" s="30">
        <f t="shared" si="32"/>
        <v>3</v>
      </c>
      <c r="AD254" s="30">
        <f t="shared" si="32"/>
        <v>256.78000000000003</v>
      </c>
      <c r="AE254" s="30">
        <f t="shared" si="32"/>
        <v>456.31</v>
      </c>
      <c r="AF254" s="25">
        <f t="shared" si="32"/>
        <v>-199.52999999999997</v>
      </c>
      <c r="AG254" s="33">
        <f t="shared" si="32"/>
        <v>51.356000000000009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Nelore myo</v>
      </c>
      <c r="Y255" s="31">
        <f t="shared" si="33"/>
        <v>3</v>
      </c>
      <c r="Z255" s="31">
        <f t="shared" si="33"/>
        <v>5</v>
      </c>
      <c r="AA255" s="31">
        <f t="shared" si="33"/>
        <v>1</v>
      </c>
      <c r="AB255" s="31">
        <f t="shared" si="33"/>
        <v>0</v>
      </c>
      <c r="AC255" s="31">
        <f t="shared" si="33"/>
        <v>4</v>
      </c>
      <c r="AD255" s="31">
        <f t="shared" si="33"/>
        <v>387.52</v>
      </c>
      <c r="AE255" s="31">
        <f t="shared" si="33"/>
        <v>443.84</v>
      </c>
      <c r="AF255" s="26">
        <f t="shared" si="33"/>
        <v>-56.319999999999993</v>
      </c>
      <c r="AG255" s="33">
        <f t="shared" si="33"/>
        <v>77.503999999999991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Inter Movistar 14</v>
      </c>
      <c r="Y256" s="31">
        <f t="shared" si="34"/>
        <v>3</v>
      </c>
      <c r="Z256" s="31">
        <f t="shared" si="34"/>
        <v>5</v>
      </c>
      <c r="AA256" s="31">
        <f t="shared" si="34"/>
        <v>1</v>
      </c>
      <c r="AB256" s="31">
        <f t="shared" si="34"/>
        <v>0</v>
      </c>
      <c r="AC256" s="31">
        <f t="shared" si="34"/>
        <v>4</v>
      </c>
      <c r="AD256" s="31">
        <f t="shared" si="34"/>
        <v>286.63</v>
      </c>
      <c r="AE256" s="31">
        <f t="shared" si="34"/>
        <v>389.95</v>
      </c>
      <c r="AF256" s="26">
        <f t="shared" si="34"/>
        <v>-103.32</v>
      </c>
      <c r="AG256" s="33">
        <f t="shared" si="34"/>
        <v>57.326000000000001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Bruno_007MTB</v>
      </c>
      <c r="Y257" s="31">
        <f t="shared" si="34"/>
        <v>1</v>
      </c>
      <c r="Z257" s="31">
        <f t="shared" si="34"/>
        <v>5</v>
      </c>
      <c r="AA257" s="31">
        <f t="shared" si="34"/>
        <v>0</v>
      </c>
      <c r="AB257" s="31">
        <f t="shared" si="34"/>
        <v>1</v>
      </c>
      <c r="AC257" s="31">
        <f t="shared" si="34"/>
        <v>4</v>
      </c>
      <c r="AD257" s="31">
        <f t="shared" si="34"/>
        <v>282.93</v>
      </c>
      <c r="AE257" s="31">
        <f t="shared" si="34"/>
        <v>433.39</v>
      </c>
      <c r="AF257" s="26">
        <f t="shared" si="34"/>
        <v>-150.45999999999998</v>
      </c>
      <c r="AG257" s="33">
        <f t="shared" si="34"/>
        <v>56.585999999999999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Nautico1998</v>
      </c>
      <c r="Y258" s="19">
        <f t="shared" si="34"/>
        <v>1</v>
      </c>
      <c r="Z258" s="19">
        <f t="shared" si="34"/>
        <v>5</v>
      </c>
      <c r="AA258" s="19">
        <f t="shared" si="34"/>
        <v>0</v>
      </c>
      <c r="AB258" s="19">
        <f t="shared" si="34"/>
        <v>1</v>
      </c>
      <c r="AC258" s="19">
        <f t="shared" si="34"/>
        <v>4</v>
      </c>
      <c r="AD258" s="19">
        <f t="shared" si="34"/>
        <v>247.60999999999999</v>
      </c>
      <c r="AE258" s="19">
        <f t="shared" si="34"/>
        <v>420.4</v>
      </c>
      <c r="AF258" s="27">
        <f t="shared" si="34"/>
        <v>-172.79</v>
      </c>
      <c r="AG258" s="34">
        <f t="shared" si="34"/>
        <v>49.521999999999998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tabSelected="1" zoomScale="75" zoomScaleNormal="75" workbookViewId="0">
      <selection activeCell="B12" sqref="B12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1</v>
      </c>
      <c r="J3" s="50"/>
    </row>
    <row r="4" spans="1:10" ht="18.75" x14ac:dyDescent="0.25">
      <c r="A4" s="58" t="s">
        <v>95</v>
      </c>
      <c r="B4" s="2" t="s">
        <v>94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84</v>
      </c>
      <c r="B6" s="2" t="s">
        <v>83</v>
      </c>
      <c r="C6" s="2">
        <v>0</v>
      </c>
      <c r="J6" s="50"/>
    </row>
    <row r="7" spans="1:10" ht="18.75" x14ac:dyDescent="0.25">
      <c r="A7" s="58" t="s">
        <v>97</v>
      </c>
      <c r="B7" s="2" t="s">
        <v>96</v>
      </c>
      <c r="C7" s="2">
        <v>1</v>
      </c>
      <c r="J7" s="50"/>
    </row>
    <row r="8" spans="1:10" ht="18.75" x14ac:dyDescent="0.25">
      <c r="A8" s="58" t="s">
        <v>72</v>
      </c>
      <c r="B8" s="2" t="s">
        <v>73</v>
      </c>
      <c r="C8" s="2">
        <v>2</v>
      </c>
      <c r="J8" s="50"/>
    </row>
    <row r="9" spans="1:10" ht="18.75" x14ac:dyDescent="0.25">
      <c r="A9" s="58" t="s">
        <v>88</v>
      </c>
      <c r="B9" s="71" t="s">
        <v>87</v>
      </c>
      <c r="C9" s="2">
        <v>0</v>
      </c>
      <c r="J9" s="50"/>
    </row>
    <row r="10" spans="1:10" ht="18.75" x14ac:dyDescent="0.25">
      <c r="A10" s="58" t="s">
        <v>77</v>
      </c>
      <c r="B10" s="2" t="s">
        <v>76</v>
      </c>
      <c r="C10" s="2">
        <v>0</v>
      </c>
      <c r="J10" s="50"/>
    </row>
    <row r="11" spans="1:10" ht="18.75" x14ac:dyDescent="0.25">
      <c r="A11" s="58" t="s">
        <v>82</v>
      </c>
      <c r="B11" s="2" t="s">
        <v>68</v>
      </c>
      <c r="C11" s="2">
        <v>0</v>
      </c>
      <c r="J11" s="50"/>
    </row>
    <row r="12" spans="1:10" ht="18.75" x14ac:dyDescent="0.25">
      <c r="A12" s="58" t="s">
        <v>71</v>
      </c>
      <c r="B12" s="2" t="s">
        <v>100</v>
      </c>
      <c r="C12" s="2">
        <v>0</v>
      </c>
      <c r="J12" s="50"/>
    </row>
    <row r="13" spans="1:10" ht="18.75" x14ac:dyDescent="0.25">
      <c r="A13" s="58" t="s">
        <v>79</v>
      </c>
      <c r="B13" s="2" t="s">
        <v>78</v>
      </c>
      <c r="C13" s="2">
        <v>0</v>
      </c>
      <c r="J13" s="50"/>
    </row>
    <row r="14" spans="1:10" ht="18.75" x14ac:dyDescent="0.25">
      <c r="A14" s="58" t="s">
        <v>74</v>
      </c>
      <c r="B14" s="2" t="s">
        <v>75</v>
      </c>
      <c r="C14" s="2">
        <v>0</v>
      </c>
      <c r="J14" s="50"/>
    </row>
    <row r="15" spans="1:10" ht="18.75" x14ac:dyDescent="0.25">
      <c r="A15" s="58" t="s">
        <v>99</v>
      </c>
      <c r="B15" s="2" t="s">
        <v>98</v>
      </c>
      <c r="C15" s="2">
        <v>1</v>
      </c>
      <c r="J15" s="50"/>
    </row>
    <row r="16" spans="1:10" ht="18.75" x14ac:dyDescent="0.25">
      <c r="A16" s="58" t="s">
        <v>63</v>
      </c>
      <c r="B16" s="2" t="s">
        <v>62</v>
      </c>
      <c r="C16" s="2">
        <v>0</v>
      </c>
      <c r="J16" s="50"/>
    </row>
    <row r="17" spans="1:10" ht="18.75" x14ac:dyDescent="0.25">
      <c r="A17" s="58" t="s">
        <v>90</v>
      </c>
      <c r="B17" s="2" t="s">
        <v>89</v>
      </c>
      <c r="C17" s="2">
        <v>0</v>
      </c>
      <c r="J17" s="50"/>
    </row>
    <row r="18" spans="1:10" ht="18.75" x14ac:dyDescent="0.25">
      <c r="A18" s="58" t="s">
        <v>66</v>
      </c>
      <c r="B18" s="2" t="s">
        <v>91</v>
      </c>
      <c r="C18" s="2">
        <v>0</v>
      </c>
      <c r="J18" s="50"/>
    </row>
    <row r="19" spans="1:10" ht="18.75" x14ac:dyDescent="0.25">
      <c r="A19" s="58" t="s">
        <v>86</v>
      </c>
      <c r="B19" s="2" t="s">
        <v>85</v>
      </c>
      <c r="C19" s="2">
        <v>0</v>
      </c>
      <c r="J19" s="50"/>
    </row>
    <row r="20" spans="1:10" ht="18.75" x14ac:dyDescent="0.25">
      <c r="A20" s="58" t="s">
        <v>93</v>
      </c>
      <c r="B20" s="2" t="s">
        <v>92</v>
      </c>
      <c r="C20" s="2">
        <v>0</v>
      </c>
      <c r="J20" s="50"/>
    </row>
    <row r="21" spans="1:10" ht="18.75" x14ac:dyDescent="0.25">
      <c r="A21" s="58" t="s">
        <v>81</v>
      </c>
      <c r="B21" s="2" t="s">
        <v>80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2026-08-26T16:25:57Z</dcterms:modified>
</cp:coreProperties>
</file>