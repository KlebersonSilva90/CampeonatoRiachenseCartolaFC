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FEF3CE42-DF0A-429F-BB77-F56AD61109FC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 s="1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6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D4" i="3" l="1"/>
  <c r="A111" i="3"/>
  <c r="B111" i="3" s="1"/>
  <c r="A76" i="3"/>
  <c r="B76" i="3" s="1"/>
  <c r="A80" i="3"/>
  <c r="B80" i="3" s="1"/>
  <c r="AE7" i="3"/>
  <c r="AE14" i="3"/>
  <c r="A77" i="3"/>
  <c r="B77" i="3" s="1"/>
  <c r="A72" i="3"/>
  <c r="B72" i="3" s="1"/>
  <c r="AE17" i="3"/>
  <c r="A68" i="3"/>
  <c r="B68" i="3" s="1"/>
  <c r="A51" i="3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16" i="3"/>
  <c r="AE9" i="3"/>
  <c r="AD16" i="3"/>
  <c r="AE12" i="3"/>
  <c r="A4" i="3"/>
  <c r="B4" i="3" s="1"/>
  <c r="A9" i="3"/>
  <c r="B9" i="3" s="1"/>
  <c r="AE18" i="3"/>
  <c r="A22" i="3"/>
  <c r="B22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5" i="3"/>
  <c r="AD6" i="3"/>
  <c r="AF6" i="3" s="1"/>
  <c r="AE4" i="3"/>
  <c r="AF4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10" i="3"/>
  <c r="AE5" i="3"/>
  <c r="AE8" i="3"/>
  <c r="AD17" i="3"/>
  <c r="AF17" i="3" s="1"/>
  <c r="AE19" i="3"/>
  <c r="AE21" i="3"/>
  <c r="A21" i="3"/>
  <c r="B21" i="3" s="1"/>
  <c r="A47" i="3"/>
  <c r="B47" i="3" s="1"/>
  <c r="A52" i="3"/>
  <c r="B52" i="3" s="1"/>
  <c r="AC16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3" i="3"/>
  <c r="AE20" i="3"/>
  <c r="AE13" i="3"/>
  <c r="A16" i="3"/>
  <c r="B16" i="3" s="1"/>
  <c r="A28" i="3"/>
  <c r="B28" i="3" s="1"/>
  <c r="A30" i="3"/>
  <c r="B30" i="3" s="1"/>
  <c r="A32" i="3"/>
  <c r="B32" i="3" s="1"/>
  <c r="AC10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C4" i="3" s="1"/>
  <c r="A96" i="3"/>
  <c r="B96" i="3" s="1"/>
  <c r="A100" i="3"/>
  <c r="B100" i="3" s="1"/>
  <c r="A103" i="3"/>
  <c r="B103" i="3" s="1"/>
  <c r="A112" i="3"/>
  <c r="B112" i="3" s="1"/>
  <c r="AB9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7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7" i="3"/>
  <c r="AD14" i="3"/>
  <c r="A7" i="3"/>
  <c r="B7" i="3" s="1"/>
  <c r="AD18" i="3"/>
  <c r="AD7" i="3"/>
  <c r="AD3" i="3"/>
  <c r="A11" i="3"/>
  <c r="B11" i="3" s="1"/>
  <c r="A24" i="3"/>
  <c r="B24" i="3" s="1"/>
  <c r="AD5" i="3"/>
  <c r="AD11" i="3"/>
  <c r="A42" i="3"/>
  <c r="B42" i="3" s="1"/>
  <c r="A44" i="3"/>
  <c r="B44" i="3" s="1"/>
  <c r="AD15" i="3"/>
  <c r="A23" i="3"/>
  <c r="B23" i="3" s="1"/>
  <c r="AD12" i="3"/>
  <c r="AD13" i="3"/>
  <c r="A41" i="3"/>
  <c r="B41" i="3" s="1"/>
  <c r="AA13" i="3" s="1"/>
  <c r="A15" i="3"/>
  <c r="B15" i="3" s="1"/>
  <c r="AD22" i="3"/>
  <c r="AA20" i="3"/>
  <c r="A3" i="3"/>
  <c r="B3" i="3" s="1"/>
  <c r="AE11" i="3"/>
  <c r="AD21" i="3"/>
  <c r="AD9" i="3"/>
  <c r="AD10" i="3"/>
  <c r="AD8" i="3"/>
  <c r="AD19" i="3"/>
  <c r="AD20" i="3"/>
  <c r="A12" i="3"/>
  <c r="B12" i="3" s="1"/>
  <c r="A20" i="3"/>
  <c r="B20" i="3" s="1"/>
  <c r="AB6" i="3" l="1"/>
  <c r="AF16" i="3"/>
  <c r="AA8" i="3"/>
  <c r="AE255" i="3"/>
  <c r="AA10" i="3"/>
  <c r="AB10" i="3"/>
  <c r="AB8" i="3"/>
  <c r="AB16" i="3"/>
  <c r="AA11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7" i="3"/>
  <c r="AC8" i="3"/>
  <c r="AC9" i="3"/>
  <c r="AA4" i="3"/>
  <c r="AA6" i="3"/>
  <c r="AB21" i="3"/>
  <c r="AE246" i="3"/>
  <c r="AE256" i="3"/>
  <c r="AE250" i="3"/>
  <c r="AE248" i="3"/>
  <c r="AE240" i="3"/>
  <c r="AC6" i="3"/>
  <c r="AB11" i="3"/>
  <c r="AC11" i="3"/>
  <c r="AA17" i="3"/>
  <c r="AB4" i="3"/>
  <c r="AC21" i="3"/>
  <c r="AA16" i="3"/>
  <c r="AC13" i="3"/>
  <c r="AC17" i="3"/>
  <c r="AA7" i="3"/>
  <c r="Z7" i="3" s="1"/>
  <c r="AA21" i="3"/>
  <c r="AA9" i="3"/>
  <c r="Y9" i="3" s="1"/>
  <c r="AB20" i="3"/>
  <c r="AC20" i="3"/>
  <c r="AD242" i="3"/>
  <c r="AF20" i="3"/>
  <c r="AA12" i="3"/>
  <c r="AC12" i="3"/>
  <c r="AB12" i="3"/>
  <c r="AD255" i="3"/>
  <c r="AF19" i="3"/>
  <c r="AD241" i="3"/>
  <c r="AF21" i="3"/>
  <c r="AB22" i="3"/>
  <c r="AA22" i="3"/>
  <c r="AC22" i="3"/>
  <c r="AD254" i="3"/>
  <c r="AF15" i="3"/>
  <c r="AD246" i="3"/>
  <c r="AF5" i="3"/>
  <c r="AB13" i="3"/>
  <c r="AF18" i="3"/>
  <c r="AD252" i="3"/>
  <c r="AF9" i="3"/>
  <c r="AD244" i="3"/>
  <c r="AD249" i="3"/>
  <c r="AF22" i="3"/>
  <c r="AD239" i="3"/>
  <c r="AF11" i="3"/>
  <c r="AD243" i="3"/>
  <c r="AF14" i="3"/>
  <c r="AA15" i="3"/>
  <c r="AC15" i="3"/>
  <c r="AB15" i="3"/>
  <c r="AD258" i="3"/>
  <c r="AF8" i="3"/>
  <c r="AD253" i="3"/>
  <c r="AF13" i="3"/>
  <c r="AA5" i="3"/>
  <c r="AC5" i="3"/>
  <c r="AB5" i="3"/>
  <c r="AB3" i="3"/>
  <c r="AA3" i="3"/>
  <c r="AC3" i="3"/>
  <c r="AD247" i="3"/>
  <c r="AF7" i="3"/>
  <c r="AB19" i="3"/>
  <c r="AC19" i="3"/>
  <c r="AA19" i="3"/>
  <c r="AF10" i="3"/>
  <c r="AD248" i="3"/>
  <c r="AC18" i="3"/>
  <c r="AA18" i="3"/>
  <c r="AB18" i="3"/>
  <c r="Y8" i="3"/>
  <c r="AD250" i="3"/>
  <c r="AF12" i="3"/>
  <c r="AD257" i="3"/>
  <c r="AF3" i="3"/>
  <c r="AC14" i="3"/>
  <c r="AB14" i="3"/>
  <c r="AA14" i="3"/>
  <c r="Y10" i="3" l="1"/>
  <c r="Z10" i="3"/>
  <c r="Y11" i="3"/>
  <c r="Y16" i="3"/>
  <c r="Z8" i="3"/>
  <c r="AG8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7" i="3"/>
  <c r="AC256" i="3"/>
  <c r="AC257" i="3"/>
  <c r="AA258" i="3"/>
  <c r="AC243" i="3"/>
  <c r="AB257" i="3"/>
  <c r="AF253" i="3"/>
  <c r="AA244" i="3"/>
  <c r="AA247" i="3"/>
  <c r="AB242" i="3"/>
  <c r="AB254" i="3"/>
  <c r="Z6" i="3"/>
  <c r="AG6" i="3" s="1"/>
  <c r="Z4" i="3"/>
  <c r="AG4" i="3" s="1"/>
  <c r="Y4" i="3"/>
  <c r="AF252" i="3"/>
  <c r="AB250" i="3"/>
  <c r="AA248" i="3"/>
  <c r="AC244" i="3"/>
  <c r="AA241" i="3"/>
  <c r="AB252" i="3"/>
  <c r="Y6" i="3"/>
  <c r="AF243" i="3"/>
  <c r="AC242" i="3"/>
  <c r="AB248" i="3"/>
  <c r="Z16" i="3"/>
  <c r="AG16" i="3" s="1"/>
  <c r="AF247" i="3"/>
  <c r="AA242" i="3"/>
  <c r="AC246" i="3"/>
  <c r="AF258" i="3"/>
  <c r="AF250" i="3"/>
  <c r="AF249" i="3"/>
  <c r="Y20" i="3"/>
  <c r="AB258" i="3"/>
  <c r="Z20" i="3"/>
  <c r="Z21" i="3"/>
  <c r="AG21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21" i="3"/>
  <c r="AC251" i="3"/>
  <c r="AC240" i="3"/>
  <c r="AB251" i="3"/>
  <c r="AC247" i="3"/>
  <c r="AF256" i="3"/>
  <c r="Z11" i="3"/>
  <c r="AB249" i="3"/>
  <c r="AF241" i="3"/>
  <c r="AF242" i="3"/>
  <c r="AC253" i="3"/>
  <c r="Z17" i="3"/>
  <c r="AG17" i="3" s="1"/>
  <c r="AF245" i="3"/>
  <c r="AB241" i="3"/>
  <c r="AC248" i="3"/>
  <c r="AF251" i="3"/>
  <c r="Y17" i="3"/>
  <c r="Z9" i="3"/>
  <c r="AG7" i="3"/>
  <c r="AA250" i="3"/>
  <c r="Y12" i="3"/>
  <c r="Z12" i="3"/>
  <c r="AA252" i="3"/>
  <c r="Y18" i="3"/>
  <c r="Z18" i="3"/>
  <c r="AG10" i="3"/>
  <c r="AA257" i="3"/>
  <c r="Y3" i="3"/>
  <c r="Z3" i="3"/>
  <c r="AA246" i="3"/>
  <c r="Z5" i="3"/>
  <c r="Y5" i="3"/>
  <c r="AA249" i="3"/>
  <c r="Z22" i="3"/>
  <c r="Y22" i="3"/>
  <c r="Z13" i="3"/>
  <c r="AA243" i="3"/>
  <c r="Z14" i="3"/>
  <c r="Y14" i="3"/>
  <c r="AA255" i="3"/>
  <c r="Z19" i="3"/>
  <c r="Y19" i="3"/>
  <c r="AA254" i="3"/>
  <c r="Y15" i="3"/>
  <c r="Z15" i="3"/>
  <c r="Y13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11" i="3"/>
  <c r="Z247" i="3"/>
  <c r="Z241" i="3"/>
  <c r="Y250" i="3"/>
  <c r="Y242" i="3"/>
  <c r="Y252" i="3"/>
  <c r="Z248" i="3"/>
  <c r="Y239" i="3"/>
  <c r="Y258" i="3"/>
  <c r="Y249" i="3"/>
  <c r="AG20" i="3"/>
  <c r="Z239" i="3"/>
  <c r="Y241" i="3"/>
  <c r="Z245" i="3"/>
  <c r="Y251" i="3"/>
  <c r="Y247" i="3"/>
  <c r="AG9" i="3"/>
  <c r="Y248" i="3"/>
  <c r="Y253" i="3"/>
  <c r="Y240" i="3"/>
  <c r="Z243" i="3"/>
  <c r="AG14" i="3"/>
  <c r="Z249" i="3"/>
  <c r="AG22" i="3"/>
  <c r="Z246" i="3"/>
  <c r="AG5" i="3"/>
  <c r="Z250" i="3"/>
  <c r="AG12" i="3"/>
  <c r="Z253" i="3"/>
  <c r="AG13" i="3"/>
  <c r="Z257" i="3"/>
  <c r="AG3" i="3"/>
  <c r="Z252" i="3"/>
  <c r="AG18" i="3"/>
  <c r="Z255" i="3"/>
  <c r="AG19" i="3"/>
  <c r="Z254" i="3"/>
  <c r="AG15" i="3"/>
  <c r="AG255" i="3" l="1"/>
  <c r="AG257" i="3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<sst xmlns="http://schemas.openxmlformats.org/spreadsheetml/2006/main" count="1157" uniqueCount="101">
  <si>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</si>
  <si>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</si>
  <si>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</si>
  <si>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</si>
  <si>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</si>
  <si>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</si>
  <si>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</si>
  <si>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</si>
  <si>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</si>
  <si>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</si>
  <si>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</si>
  <si>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</si>
  <si>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</si>
  <si>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</si>
  <si>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</si>
  <si>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</si>
  <si>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</si>
  <si>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</si>
  <si>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</si>
  <si>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</si>
  <si>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</si>
  <si>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</si>
  <si>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</si>
  <si>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</si>
  <si>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</si>
  <si>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</si>
  <si>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</si>
  <si>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</si>
  <si>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</si>
  <si>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</si>
  <si>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</si>
  <si>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</si>
  <si>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</si>
  <si>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</si>
  <si>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</si>
  <si>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</si>
  <si>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</si>
  <si>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</si>
  <si>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</si>
  <si>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</si>
  <si>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</si>
  <si>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</si>
  <si>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</si>
  <si>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</si>
  <si>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</si>
  <si>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</si>
  <si>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</si>
  <si>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</si>
  <si>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</si>
  <si>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</si>
  <si>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</si>
  <si>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</si>
  <si>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</si>
  <si>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</si>
  <si>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</si>
  <si>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</si>
  <si>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</si>
  <si>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</si>
  <si>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</si>
  <si>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</si>
  <si>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</si>
  <si>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</si>
  <si>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</si>
  <si>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</si>
  <si>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</si>
  <si>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</si>
  <si>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</si>
  <si>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</si>
  <si>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</si>
  <si>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</si>
  <si>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</si>
  <si>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</si>
  <si>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</si>
  <si>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</si>
  <si>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</si>
  <si>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</si>
  <si>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</si>
  <si>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</si>
  <si>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</si>
  <si>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</si>
  <si>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</si>
  <si>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</si>
  <si>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</si>
  <si>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</si>
  <si>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</si>
  <si>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</si>
  <si>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</si>
  <si>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</si>
  <si>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</si>
  <si>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</si>
  <si>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</si>
  <si>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</si>
  <si>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</si>
  <si>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</si>
  <si>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</si>
  <si>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</si>
  <si>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</si>
  <si>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</si>
  <si>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</si>
  <si>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DINOO F.C 10</t>
  </si>
  <si>
    <t>Bayern 07 J.L 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</si>
</sst>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33</xdr:col>
      <xdr:colOff>27168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103" zoomScale="75" zoomScaleNormal="75" workbookViewId="0">
      <selection activeCell="K124" sqref="K124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4" bestFit="1" customWidth="1"/>
    <col min="9" max="9" width="2.85546875" style="4" bestFit="1" customWidth="1"/>
    <col min="10" max="10" width="9.140625" style="64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8.140625" style="4" bestFit="1" customWidth="1"/>
    <col min="32" max="32" width="8.85546875" style="4" bestFit="1" customWidth="1"/>
    <col min="33" max="33" width="7" style="59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3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8"/>
    </row>
    <row r="2" spans="1:33" ht="17.25" customHeight="1" x14ac:dyDescent="0.25">
      <c r="E2" s="3"/>
      <c r="F2" s="1" t="s">
        <v>1</v>
      </c>
      <c r="G2" s="53" t="s">
        <v>2</v>
      </c>
      <c r="H2" s="1"/>
      <c r="I2" s="1"/>
      <c r="J2" s="1"/>
      <c r="K2" s="53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3" t="s">
        <v>79</v>
      </c>
      <c r="G3" s="54" t="s">
        <v>78</v>
      </c>
      <c r="H3" s="67">
        <v>105.46</v>
      </c>
      <c r="I3" s="1" t="s">
        <v>52</v>
      </c>
      <c r="J3" s="60">
        <v>100.21</v>
      </c>
      <c r="K3" s="54" t="s">
        <v>80</v>
      </c>
      <c r="L3" s="53" t="s">
        <v>81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95</v>
      </c>
      <c r="Y3" s="32">
        <f>SUM((AA3*3)+AB3)</f>
        <v>22</v>
      </c>
      <c r="Z3" s="32">
        <f>SUM(AA3+AB3+AC3)</f>
        <v>10</v>
      </c>
      <c r="AA3" s="32">
        <f>COUNTIFS($G$3:$G$228,X3,$B$3:$B$228,"V")+COUNTIFS($K$3:$K$228,X3,$P$3:$P$228,"V")</f>
        <v>7</v>
      </c>
      <c r="AB3" s="32">
        <f>COUNTIFS($G$3:$G$228,X3,$B$3:$B$228,"E",$H$3:$H$228,"&lt;&gt;"&amp;"")+COUNTIFS($K$3:$K$228,X3,$P$3:$P$228,"E",$J$3:$J$228,"&lt;&gt;"&amp;"")</f>
        <v>1</v>
      </c>
      <c r="AC3" s="32">
        <f>COUNTIFS($G$3:$G$228,X3,$B$3:$B$228,"D")+COUNTIFS($K$3:$K$228,X3,$P$3:$P$228,"D")</f>
        <v>2</v>
      </c>
      <c r="AD3" s="32">
        <f>SUMIFS($C$3:$C$228,$G$3:$G$228,X3)+SUMIFS($O$3:$O$228,$K$3:$K$228,X3)</f>
        <v>960.61</v>
      </c>
      <c r="AE3" s="32">
        <f>SUMIFS($D$3:$D$228,$G$3:$G$228,X3)+SUMIFS($N$3:$N$228,$K$3:$K$228,X3)</f>
        <v>859.38000000000011</v>
      </c>
      <c r="AF3" s="32">
        <f>SUM(AD3-AE3)</f>
        <v>101.2299999999999</v>
      </c>
      <c r="AG3" s="22">
        <f>SUM(AD3/Z3)</f>
        <v>96.061000000000007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3" t="s">
        <v>77</v>
      </c>
      <c r="G4" s="54" t="s">
        <v>76</v>
      </c>
      <c r="H4" s="68">
        <v>104.91</v>
      </c>
      <c r="I4" s="1" t="s">
        <v>52</v>
      </c>
      <c r="J4" s="68">
        <v>108.71</v>
      </c>
      <c r="K4" s="54" t="s">
        <v>69</v>
      </c>
      <c r="L4" s="53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71</v>
      </c>
      <c r="Y4" s="65">
        <f>SUM((AA4*3)+AB4)</f>
        <v>21</v>
      </c>
      <c r="Z4" s="65">
        <f>SUM(AA4+AB4+AC4)</f>
        <v>10</v>
      </c>
      <c r="AA4" s="57">
        <f>COUNTIFS($G$3:$G$228,X4,$B$3:$B$228,"V")+COUNTIFS($K$3:$K$228,X4,$P$3:$P$228,"V")</f>
        <v>6</v>
      </c>
      <c r="AB4" s="57">
        <f>COUNTIFS($G$3:$G$228,X4,$B$3:$B$228,"E",$H$3:$H$228,"&lt;&gt;"&amp;"")+COUNTIFS($K$3:$K$228,X4,$P$3:$P$228,"E",$J$3:$J$228,"&lt;&gt;"&amp;"")</f>
        <v>3</v>
      </c>
      <c r="AC4" s="57">
        <f>COUNTIFS($G$3:$G$228,X4,$B$3:$B$228,"D")+COUNTIFS($K$3:$K$228,X4,$P$3:$P$228,"D")</f>
        <v>1</v>
      </c>
      <c r="AD4" s="57">
        <f>SUMIFS($C$3:$C$228,$G$3:$G$228,X4)+SUMIFS($O$3:$O$228,$K$3:$K$228,X4)</f>
        <v>917.12000000000012</v>
      </c>
      <c r="AE4" s="57">
        <f>SUMIFS($D$3:$D$228,$G$3:$G$228,X4)+SUMIFS($N$3:$N$228,$K$3:$K$228,X4)</f>
        <v>815.91000000000008</v>
      </c>
      <c r="AF4" s="65">
        <f>SUM(AD4-AE4)</f>
        <v>101.21000000000004</v>
      </c>
      <c r="AG4" s="23">
        <f>SUM(AD4/Z4)</f>
        <v>91.712000000000018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3" t="s">
        <v>72</v>
      </c>
      <c r="G5" s="54" t="s">
        <v>73</v>
      </c>
      <c r="H5" s="67">
        <v>120.41</v>
      </c>
      <c r="I5" s="1" t="s">
        <v>52</v>
      </c>
      <c r="J5" s="60">
        <v>86.91</v>
      </c>
      <c r="K5" s="54" t="s">
        <v>93</v>
      </c>
      <c r="L5" s="53" t="s">
        <v>94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87</v>
      </c>
      <c r="Y5" s="57">
        <f>SUM((AA5*3)+AB5)</f>
        <v>19</v>
      </c>
      <c r="Z5" s="57">
        <f>SUM(AA5+AB5+AC5)</f>
        <v>10</v>
      </c>
      <c r="AA5" s="57">
        <f>COUNTIFS($G$3:$G$228,X5,$B$3:$B$228,"V")+COUNTIFS($K$3:$K$228,X5,$P$3:$P$228,"V")</f>
        <v>6</v>
      </c>
      <c r="AB5" s="57">
        <f>COUNTIFS($G$3:$G$228,X5,$B$3:$B$228,"E",$H$3:$H$228,"&lt;&gt;"&amp;"")+COUNTIFS($K$3:$K$228,X5,$P$3:$P$228,"E",$J$3:$J$228,"&lt;&gt;"&amp;"")</f>
        <v>1</v>
      </c>
      <c r="AC5" s="57">
        <f>COUNTIFS($G$3:$G$228,X5,$B$3:$B$228,"D")+COUNTIFS($K$3:$K$228,X5,$P$3:$P$228,"D")</f>
        <v>3</v>
      </c>
      <c r="AD5" s="57">
        <f>SUMIFS($C$3:$C$228,$G$3:$G$228,X5)+SUMIFS($O$3:$O$228,$K$3:$K$228,X5)</f>
        <v>922.89</v>
      </c>
      <c r="AE5" s="57">
        <f>SUMIFS($D$3:$D$228,$G$3:$G$228,X5)+SUMIFS($N$3:$N$228,$K$3:$K$228,X5)</f>
        <v>835.06999999999994</v>
      </c>
      <c r="AF5" s="70">
        <f>SUM(AD5-AE5)</f>
        <v>87.82000000000005</v>
      </c>
      <c r="AG5" s="23">
        <f>SUM(AD5/Z5)</f>
        <v>92.289000000000001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3" t="s">
        <v>97</v>
      </c>
      <c r="G6" s="54" t="s">
        <v>98</v>
      </c>
      <c r="H6" s="67">
        <v>107.91</v>
      </c>
      <c r="I6" s="1" t="s">
        <v>52</v>
      </c>
      <c r="J6" s="1">
        <v>94.62</v>
      </c>
      <c r="K6" s="54" t="s">
        <v>99</v>
      </c>
      <c r="L6" s="53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86</v>
      </c>
      <c r="Y6" s="57">
        <f>SUM((AA6*3)+AB6)</f>
        <v>18</v>
      </c>
      <c r="Z6" s="57">
        <f>SUM(AA6+AB6+AC6)</f>
        <v>10</v>
      </c>
      <c r="AA6" s="57">
        <f>COUNTIFS($G$3:$G$228,X6,$B$3:$B$228,"V")+COUNTIFS($K$3:$K$228,X6,$P$3:$P$228,"V")</f>
        <v>5</v>
      </c>
      <c r="AB6" s="57">
        <f>COUNTIFS($G$3:$G$228,X6,$B$3:$B$228,"E",$H$3:$H$228,"&lt;&gt;"&amp;"")+COUNTIFS($K$3:$K$228,X6,$P$3:$P$228,"E",$J$3:$J$228,"&lt;&gt;"&amp;"")</f>
        <v>3</v>
      </c>
      <c r="AC6" s="57">
        <f>COUNTIFS($G$3:$G$228,X6,$B$3:$B$228,"D")+COUNTIFS($K$3:$K$228,X6,$P$3:$P$228,"D")</f>
        <v>2</v>
      </c>
      <c r="AD6" s="57">
        <f>SUMIFS($C$3:$C$228,$G$3:$G$228,X6)+SUMIFS($O$3:$O$228,$K$3:$K$228,X6)</f>
        <v>913.56999999999994</v>
      </c>
      <c r="AE6" s="57">
        <f>SUMIFS($D$3:$D$228,$G$3:$G$228,X6)+SUMIFS($N$3:$N$228,$K$3:$K$228,X6)</f>
        <v>860.29</v>
      </c>
      <c r="AF6" s="57">
        <f>SUM(AD6-AE6)</f>
        <v>53.279999999999973</v>
      </c>
      <c r="AG6" s="23">
        <f>SUM(AD6/Z6)</f>
        <v>91.356999999999999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3" t="s">
        <v>75</v>
      </c>
      <c r="G7" s="54" t="s">
        <v>74</v>
      </c>
      <c r="H7" s="60">
        <v>88.41</v>
      </c>
      <c r="I7" s="1" t="s">
        <v>52</v>
      </c>
      <c r="J7" s="67">
        <v>106.81</v>
      </c>
      <c r="K7" s="54" t="s">
        <v>87</v>
      </c>
      <c r="L7" s="53" t="s">
        <v>88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73</v>
      </c>
      <c r="Y7" s="57">
        <f>SUM((AA7*3)+AB7)</f>
        <v>17</v>
      </c>
      <c r="Z7" s="57">
        <f>SUM(AA7+AB7+AC7)</f>
        <v>10</v>
      </c>
      <c r="AA7" s="57">
        <f>COUNTIFS($G$3:$G$228,X7,$B$3:$B$228,"V")+COUNTIFS($K$3:$K$228,X7,$P$3:$P$228,"V")</f>
        <v>5</v>
      </c>
      <c r="AB7" s="57">
        <f>COUNTIFS($G$3:$G$228,X7,$B$3:$B$228,"E",$H$3:$H$228,"&lt;&gt;"&amp;"")+COUNTIFS($K$3:$K$228,X7,$P$3:$P$228,"E",$J$3:$J$228,"&lt;&gt;"&amp;"")</f>
        <v>2</v>
      </c>
      <c r="AC7" s="57">
        <f>COUNTIFS($G$3:$G$228,X7,$B$3:$B$228,"D")+COUNTIFS($K$3:$K$228,X7,$P$3:$P$228,"D")</f>
        <v>3</v>
      </c>
      <c r="AD7" s="57">
        <f>SUMIFS($C$3:$C$228,$G$3:$G$228,X7)+SUMIFS($O$3:$O$228,$K$3:$K$228,X7)</f>
        <v>887.81</v>
      </c>
      <c r="AE7" s="57">
        <f>SUMIFS($D$3:$D$228,$G$3:$G$228,X7)+SUMIFS($N$3:$N$228,$K$3:$K$228,X7)</f>
        <v>830.44</v>
      </c>
      <c r="AF7" s="57">
        <f>SUM(AD7-AE7)</f>
        <v>57.369999999999891</v>
      </c>
      <c r="AG7" s="23">
        <f>SUM(AD7/Z7)</f>
        <v>88.780999999999992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3" t="s">
        <v>60</v>
      </c>
      <c r="G8" s="54" t="s">
        <v>100</v>
      </c>
      <c r="H8" s="67">
        <v>127.21</v>
      </c>
      <c r="I8" s="1" t="s">
        <v>52</v>
      </c>
      <c r="J8" s="60">
        <v>70.41</v>
      </c>
      <c r="K8" s="54" t="s">
        <v>89</v>
      </c>
      <c r="L8" s="53" t="s">
        <v>90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98</v>
      </c>
      <c r="Y8" s="57">
        <f>SUM((AA8*3)+AB8)</f>
        <v>17</v>
      </c>
      <c r="Z8" s="57">
        <f>SUM(AA8+AB8+AC8)</f>
        <v>10</v>
      </c>
      <c r="AA8" s="57">
        <f>COUNTIFS($G$3:$G$228,X8,$B$3:$B$228,"V")+COUNTIFS($K$3:$K$228,X8,$P$3:$P$228,"V")</f>
        <v>5</v>
      </c>
      <c r="AB8" s="57">
        <f>COUNTIFS($G$3:$G$228,X8,$B$3:$B$228,"E",$H$3:$H$228,"&lt;&gt;"&amp;"")+COUNTIFS($K$3:$K$228,X8,$P$3:$P$228,"E",$J$3:$J$228,"&lt;&gt;"&amp;"")</f>
        <v>2</v>
      </c>
      <c r="AC8" s="57">
        <f>COUNTIFS($G$3:$G$228,X8,$B$3:$B$228,"D")+COUNTIFS($K$3:$K$228,X8,$P$3:$P$228,"D")</f>
        <v>3</v>
      </c>
      <c r="AD8" s="57">
        <f>SUMIFS($C$3:$C$228,$G$3:$G$228,X8)+SUMIFS($O$3:$O$228,$K$3:$K$228,X8)</f>
        <v>911.5</v>
      </c>
      <c r="AE8" s="57">
        <f>SUMIFS($D$3:$D$228,$G$3:$G$228,X8)+SUMIFS($N$3:$N$228,$K$3:$K$228,X8)</f>
        <v>894.81000000000006</v>
      </c>
      <c r="AF8" s="57">
        <f>SUM(AD8-AE8)</f>
        <v>16.689999999999941</v>
      </c>
      <c r="AG8" s="23">
        <f>SUM(AD8/Z8)</f>
        <v>91.15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3" t="s">
        <v>68</v>
      </c>
      <c r="G9" s="54" t="s">
        <v>71</v>
      </c>
      <c r="H9" s="67">
        <v>111.01</v>
      </c>
      <c r="I9" s="1" t="s">
        <v>52</v>
      </c>
      <c r="J9" s="60">
        <v>85.61</v>
      </c>
      <c r="K9" s="54" t="s">
        <v>67</v>
      </c>
      <c r="L9" s="53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76</v>
      </c>
      <c r="Y9" s="49">
        <f>SUM((AA9*3)+AB9)</f>
        <v>17</v>
      </c>
      <c r="Z9" s="49">
        <f>SUM(AA9+AB9+AC9)</f>
        <v>10</v>
      </c>
      <c r="AA9" s="49">
        <f>COUNTIFS($G$3:$G$228,X9,$B$3:$B$228,"V")+COUNTIFS($K$3:$K$228,X9,$P$3:$P$228,"V")</f>
        <v>4</v>
      </c>
      <c r="AB9" s="49">
        <f>COUNTIFS($G$3:$G$228,X9,$B$3:$B$228,"E",$H$3:$H$228,"&lt;&gt;"&amp;"")+COUNTIFS($K$3:$K$228,X9,$P$3:$P$228,"E",$J$3:$J$228,"&lt;&gt;"&amp;"")</f>
        <v>5</v>
      </c>
      <c r="AC9" s="49">
        <f>COUNTIFS($G$3:$G$228,X9,$B$3:$B$228,"D")+COUNTIFS($K$3:$K$228,X9,$P$3:$P$228,"D")</f>
        <v>1</v>
      </c>
      <c r="AD9" s="49">
        <f>SUMIFS($C$3:$C$228,$G$3:$G$228,X9)+SUMIFS($O$3:$O$228,$K$3:$K$228,X9)</f>
        <v>927.3</v>
      </c>
      <c r="AE9" s="49">
        <f>SUMIFS($D$3:$D$228,$G$3:$G$228,X9)+SUMIFS($N$3:$N$228,$K$3:$K$228,X9)</f>
        <v>814.05000000000007</v>
      </c>
      <c r="AF9" s="49">
        <f>SUM(AD9-AE9)</f>
        <v>113.24999999999989</v>
      </c>
      <c r="AG9" s="23">
        <f>SUM(AD9/Z9)</f>
        <v>92.72999999999999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3" t="s">
        <v>62</v>
      </c>
      <c r="G10" s="54" t="s">
        <v>84</v>
      </c>
      <c r="H10" s="60">
        <v>75.010000000000005</v>
      </c>
      <c r="I10" s="1" t="s">
        <v>52</v>
      </c>
      <c r="J10" s="67">
        <v>116.31</v>
      </c>
      <c r="K10" s="54" t="s">
        <v>64</v>
      </c>
      <c r="L10" s="53" t="s">
        <v>83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100</v>
      </c>
      <c r="Y10" s="57">
        <f>SUM((AA10*3)+AB10)</f>
        <v>16</v>
      </c>
      <c r="Z10" s="57">
        <f>SUM(AA10+AB10+AC10)</f>
        <v>10</v>
      </c>
      <c r="AA10" s="57">
        <f>COUNTIFS($G$3:$G$228,X10,$B$3:$B$228,"V")+COUNTIFS($K$3:$K$228,X10,$P$3:$P$228,"V")</f>
        <v>5</v>
      </c>
      <c r="AB10" s="57">
        <f>COUNTIFS($G$3:$G$228,X10,$B$3:$B$228,"E",$H$3:$H$228,"&lt;&gt;"&amp;"")+COUNTIFS($K$3:$K$228,X10,$P$3:$P$228,"E",$J$3:$J$228,"&lt;&gt;"&amp;"")</f>
        <v>1</v>
      </c>
      <c r="AC10" s="57">
        <f>COUNTIFS($G$3:$G$228,X10,$B$3:$B$228,"D")+COUNTIFS($K$3:$K$228,X10,$P$3:$P$228,"D")</f>
        <v>4</v>
      </c>
      <c r="AD10" s="57">
        <f>SUMIFS($C$3:$C$228,$G$3:$G$228,X10)+SUMIFS($O$3:$O$228,$K$3:$K$228,X10)</f>
        <v>858.06999999999994</v>
      </c>
      <c r="AE10" s="57">
        <f>SUMIFS($D$3:$D$228,$G$3:$G$228,X10)+SUMIFS($N$3:$N$228,$K$3:$K$228,X10)</f>
        <v>826.43999999999983</v>
      </c>
      <c r="AF10" s="57">
        <f>SUM(AD10-AE10)</f>
        <v>31.630000000000109</v>
      </c>
      <c r="AG10" s="23">
        <f>SUM(AD10/Z10)</f>
        <v>85.806999999999988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3" t="s">
        <v>96</v>
      </c>
      <c r="G11" s="54" t="s">
        <v>95</v>
      </c>
      <c r="H11" s="67">
        <v>105.31</v>
      </c>
      <c r="I11" s="1" t="s">
        <v>52</v>
      </c>
      <c r="J11" s="1">
        <v>97.01</v>
      </c>
      <c r="K11" s="54" t="s">
        <v>86</v>
      </c>
      <c r="L11" s="53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99</v>
      </c>
      <c r="Y11" s="65">
        <f>SUM((AA11*3)+AB11)</f>
        <v>16</v>
      </c>
      <c r="Z11" s="65">
        <f>SUM(AA11+AB11+AC11)</f>
        <v>10</v>
      </c>
      <c r="AA11" s="57">
        <f>COUNTIFS($G$3:$G$228,X11,$B$3:$B$228,"V")+COUNTIFS($K$3:$K$228,X11,$P$3:$P$228,"V")</f>
        <v>5</v>
      </c>
      <c r="AB11" s="57">
        <f>COUNTIFS($G$3:$G$228,X11,$B$3:$B$228,"E",$H$3:$H$228,"&lt;&gt;"&amp;"")+COUNTIFS($K$3:$K$228,X11,$P$3:$P$228,"E",$J$3:$J$228,"&lt;&gt;"&amp;"")</f>
        <v>1</v>
      </c>
      <c r="AC11" s="57">
        <f>COUNTIFS($G$3:$G$228,X11,$B$3:$B$228,"D")+COUNTIFS($K$3:$K$228,X11,$P$3:$P$228,"D")</f>
        <v>4</v>
      </c>
      <c r="AD11" s="57">
        <f>SUMIFS($C$3:$C$228,$G$3:$G$228,X11)+SUMIFS($O$3:$O$228,$K$3:$K$228,X11)</f>
        <v>921.46</v>
      </c>
      <c r="AE11" s="57">
        <f>SUMIFS($D$3:$D$228,$G$3:$G$228,X11)+SUMIFS($N$3:$N$228,$K$3:$K$228,X11)</f>
        <v>895.26999999999987</v>
      </c>
      <c r="AF11" s="65">
        <f>SUM(AD11-AE11)</f>
        <v>26.190000000000168</v>
      </c>
      <c r="AG11" s="23">
        <f>SUM(AD11/Z11)</f>
        <v>92.146000000000001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3" t="s">
        <v>61</v>
      </c>
      <c r="G12" s="54" t="s">
        <v>82</v>
      </c>
      <c r="H12" s="60">
        <v>94.01</v>
      </c>
      <c r="I12" s="1" t="s">
        <v>52</v>
      </c>
      <c r="J12" s="67">
        <v>100.41</v>
      </c>
      <c r="K12" s="54" t="s">
        <v>91</v>
      </c>
      <c r="L12" s="53" t="s">
        <v>92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67</v>
      </c>
      <c r="Y12" s="49">
        <f>SUM((AA12*3)+AB12)</f>
        <v>16</v>
      </c>
      <c r="Z12" s="49">
        <f>SUM(AA12+AB12+AC12)</f>
        <v>10</v>
      </c>
      <c r="AA12" s="49">
        <f>COUNTIFS($G$3:$G$228,X12,$B$3:$B$228,"V")+COUNTIFS($K$3:$K$228,X12,$P$3:$P$228,"V")</f>
        <v>5</v>
      </c>
      <c r="AB12" s="49">
        <f>COUNTIFS($G$3:$G$228,X12,$B$3:$B$228,"E",$H$3:$H$228,"&lt;&gt;"&amp;"")+COUNTIFS($K$3:$K$228,X12,$P$3:$P$228,"E",$J$3:$J$228,"&lt;&gt;"&amp;"")</f>
        <v>1</v>
      </c>
      <c r="AC12" s="49">
        <f>COUNTIFS($G$3:$G$228,X12,$B$3:$B$228,"D")+COUNTIFS($K$3:$K$228,X12,$P$3:$P$228,"D")</f>
        <v>4</v>
      </c>
      <c r="AD12" s="49">
        <f>SUMIFS($C$3:$C$228,$G$3:$G$228,X12)+SUMIFS($O$3:$O$228,$K$3:$K$228,X12)</f>
        <v>867.74</v>
      </c>
      <c r="AE12" s="49">
        <f>SUMIFS($D$3:$D$228,$G$3:$G$228,X12)+SUMIFS($N$3:$N$228,$K$3:$K$228,X12)</f>
        <v>861.8900000000001</v>
      </c>
      <c r="AF12" s="57">
        <f>SUM(AD12-AE12)</f>
        <v>5.8499999999999091</v>
      </c>
      <c r="AG12" s="23">
        <f>SUM(AD12/Z12)</f>
        <v>86.774000000000001</v>
      </c>
    </row>
    <row r="13" spans="1:33" ht="17.25" customHeight="1" x14ac:dyDescent="0.25">
      <c r="E13" s="3"/>
      <c r="F13" s="53" t="s">
        <v>3</v>
      </c>
      <c r="G13" s="12"/>
      <c r="H13" s="12"/>
      <c r="I13" s="12"/>
      <c r="J13" s="12"/>
      <c r="K13" s="12"/>
      <c r="L13" s="12"/>
      <c r="M13" s="3"/>
      <c r="X13" s="6" t="s">
        <v>91</v>
      </c>
      <c r="Y13" s="49">
        <f>SUM((AA13*3)+AB13)</f>
        <v>16</v>
      </c>
      <c r="Z13" s="49">
        <f>SUM(AA13+AB13+AC13)</f>
        <v>10</v>
      </c>
      <c r="AA13" s="49">
        <f>COUNTIFS($G$3:$G$228,X13,$B$3:$B$228,"V")+COUNTIFS($K$3:$K$228,X13,$P$3:$P$228,"V")</f>
        <v>4</v>
      </c>
      <c r="AB13" s="49">
        <f>COUNTIFS($G$3:$G$228,X13,$B$3:$B$228,"E",$H$3:$H$228,"&lt;&gt;"&amp;"")+COUNTIFS($K$3:$K$228,X13,$P$3:$P$228,"E",$J$3:$J$228,"&lt;&gt;"&amp;"")</f>
        <v>4</v>
      </c>
      <c r="AC13" s="49">
        <f>COUNTIFS($G$3:$G$228,X13,$B$3:$B$228,"D")+COUNTIFS($K$3:$K$228,X13,$P$3:$P$228,"D")</f>
        <v>2</v>
      </c>
      <c r="AD13" s="49">
        <f>SUMIFS($C$3:$C$228,$G$3:$G$228,X13)+SUMIFS($O$3:$O$228,$K$3:$K$228,X13)</f>
        <v>907.95</v>
      </c>
      <c r="AE13" s="49">
        <f>SUMIFS($D$3:$D$228,$G$3:$G$228,X13)+SUMIFS($N$3:$N$228,$K$3:$K$228,X13)</f>
        <v>856.43999999999994</v>
      </c>
      <c r="AF13" s="57">
        <f>SUM(AD13-AE13)</f>
        <v>51.510000000000105</v>
      </c>
      <c r="AG13" s="23">
        <f>SUM(AD13/Z13)</f>
        <v>90.795000000000002</v>
      </c>
    </row>
    <row r="14" spans="1:33" ht="17.25" customHeight="1" x14ac:dyDescent="0.25">
      <c r="E14" s="3"/>
      <c r="F14" s="1" t="s">
        <v>1</v>
      </c>
      <c r="G14" s="53" t="s">
        <v>2</v>
      </c>
      <c r="H14" s="1"/>
      <c r="I14" s="1"/>
      <c r="J14" s="1"/>
      <c r="K14" s="53" t="s">
        <v>2</v>
      </c>
      <c r="L14" s="1" t="s">
        <v>1</v>
      </c>
      <c r="M14" s="3"/>
      <c r="X14" s="6" t="s">
        <v>74</v>
      </c>
      <c r="Y14" s="49">
        <f>SUM((AA14*3)+AB14)</f>
        <v>15</v>
      </c>
      <c r="Z14" s="49">
        <f>SUM(AA14+AB14+AC14)</f>
        <v>10</v>
      </c>
      <c r="AA14" s="49">
        <f>COUNTIFS($G$3:$G$228,X14,$B$3:$B$228,"V")+COUNTIFS($K$3:$K$228,X14,$P$3:$P$228,"V")</f>
        <v>4</v>
      </c>
      <c r="AB14" s="49">
        <f>COUNTIFS($G$3:$G$228,X14,$B$3:$B$228,"E",$H$3:$H$228,"&lt;&gt;"&amp;"")+COUNTIFS($K$3:$K$228,X14,$P$3:$P$228,"E",$J$3:$J$228,"&lt;&gt;"&amp;"")</f>
        <v>3</v>
      </c>
      <c r="AC14" s="49">
        <f>COUNTIFS($G$3:$G$228,X14,$B$3:$B$228,"D")+COUNTIFS($K$3:$K$228,X14,$P$3:$P$228,"D")</f>
        <v>3</v>
      </c>
      <c r="AD14" s="49">
        <f>SUMIFS($C$3:$C$228,$G$3:$G$228,X14)+SUMIFS($O$3:$O$228,$K$3:$K$228,X14)</f>
        <v>863.98</v>
      </c>
      <c r="AE14" s="49">
        <f>SUMIFS($D$3:$D$228,$G$3:$G$228,X14)+SUMIFS($N$3:$N$228,$K$3:$K$228,X14)</f>
        <v>869.77</v>
      </c>
      <c r="AF14" s="49">
        <f>SUM(AD14-AE14)</f>
        <v>-5.7899999999999636</v>
      </c>
      <c r="AG14" s="23">
        <f>SUM(AD14/Z14)</f>
        <v>86.397999999999996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3" t="s">
        <v>90</v>
      </c>
      <c r="G15" s="54" t="s">
        <v>89</v>
      </c>
      <c r="H15" s="68">
        <v>63.06</v>
      </c>
      <c r="I15" s="1" t="s">
        <v>52</v>
      </c>
      <c r="J15" s="68">
        <v>65.38</v>
      </c>
      <c r="K15" s="54" t="s">
        <v>73</v>
      </c>
      <c r="L15" s="53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64</v>
      </c>
      <c r="Y15" s="65">
        <f>SUM((AA15*3)+AB15)</f>
        <v>12</v>
      </c>
      <c r="Z15" s="65">
        <f>SUM(AA15+AB15+AC15)</f>
        <v>10</v>
      </c>
      <c r="AA15" s="57">
        <f>COUNTIFS($G$3:$G$228,X15,$B$3:$B$228,"V")+COUNTIFS($K$3:$K$228,X15,$P$3:$P$228,"V")</f>
        <v>4</v>
      </c>
      <c r="AB15" s="57">
        <f>COUNTIFS($G$3:$G$228,X15,$B$3:$B$228,"E",$H$3:$H$228,"&lt;&gt;"&amp;"")+COUNTIFS($K$3:$K$228,X15,$P$3:$P$228,"E",$J$3:$J$228,"&lt;&gt;"&amp;"")</f>
        <v>0</v>
      </c>
      <c r="AC15" s="57">
        <f>COUNTIFS($G$3:$G$228,X15,$B$3:$B$228,"D")+COUNTIFS($K$3:$K$228,X15,$P$3:$P$228,"D")</f>
        <v>6</v>
      </c>
      <c r="AD15" s="57">
        <f>SUMIFS($C$3:$C$228,$G$3:$G$228,X15)+SUMIFS($O$3:$O$228,$K$3:$K$228,X15)</f>
        <v>840.53</v>
      </c>
      <c r="AE15" s="57">
        <f>SUMIFS($D$3:$D$228,$G$3:$G$228,X15)+SUMIFS($N$3:$N$228,$K$3:$K$228,X15)</f>
        <v>870.85</v>
      </c>
      <c r="AF15" s="65">
        <f>SUM(AD15-AE15)</f>
        <v>-30.32000000000005</v>
      </c>
      <c r="AG15" s="23">
        <f>SUM(AD15/Z15)</f>
        <v>84.052999999999997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3" t="s">
        <v>94</v>
      </c>
      <c r="G16" s="54" t="s">
        <v>93</v>
      </c>
      <c r="H16" s="60">
        <v>82.65</v>
      </c>
      <c r="I16" s="1" t="s">
        <v>52</v>
      </c>
      <c r="J16" s="67">
        <v>94.5</v>
      </c>
      <c r="K16" s="54" t="s">
        <v>71</v>
      </c>
      <c r="L16" s="53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93</v>
      </c>
      <c r="Y16" s="57">
        <f>SUM((AA16*3)+AB16)</f>
        <v>10</v>
      </c>
      <c r="Z16" s="57">
        <f>SUM(AA16+AB16+AC16)</f>
        <v>10</v>
      </c>
      <c r="AA16" s="57">
        <f>COUNTIFS($G$3:$G$228,X16,$B$3:$B$228,"V")+COUNTIFS($K$3:$K$228,X16,$P$3:$P$228,"V")</f>
        <v>3</v>
      </c>
      <c r="AB16" s="57">
        <f>COUNTIFS($G$3:$G$228,X16,$B$3:$B$228,"E",$H$3:$H$228,"&lt;&gt;"&amp;"")+COUNTIFS($K$3:$K$228,X16,$P$3:$P$228,"E",$J$3:$J$228,"&lt;&gt;"&amp;"")</f>
        <v>1</v>
      </c>
      <c r="AC16" s="57">
        <f>COUNTIFS($G$3:$G$228,X16,$B$3:$B$228,"D")+COUNTIFS($K$3:$K$228,X16,$P$3:$P$228,"D")</f>
        <v>6</v>
      </c>
      <c r="AD16" s="57">
        <f>SUMIFS($C$3:$C$228,$G$3:$G$228,X16)+SUMIFS($O$3:$O$228,$K$3:$K$228,X16)</f>
        <v>829.47</v>
      </c>
      <c r="AE16" s="57">
        <f>SUMIFS($D$3:$D$228,$G$3:$G$228,X16)+SUMIFS($N$3:$N$228,$K$3:$K$228,X16)</f>
        <v>899.31000000000006</v>
      </c>
      <c r="AF16" s="57">
        <f>SUM(AD16-AE16)</f>
        <v>-69.840000000000032</v>
      </c>
      <c r="AG16" s="23">
        <f>SUM(AD16/Z16)</f>
        <v>82.947000000000003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3" t="s">
        <v>92</v>
      </c>
      <c r="G17" s="54" t="s">
        <v>91</v>
      </c>
      <c r="H17" s="67">
        <v>92.45</v>
      </c>
      <c r="I17" s="1" t="s">
        <v>52</v>
      </c>
      <c r="J17" s="60">
        <v>80.75</v>
      </c>
      <c r="K17" s="54" t="s">
        <v>95</v>
      </c>
      <c r="L17" s="53" t="s">
        <v>96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84</v>
      </c>
      <c r="Y17" s="65">
        <f>SUM((AA17*3)+AB17)</f>
        <v>10</v>
      </c>
      <c r="Z17" s="65">
        <f>SUM(AA17+AB17+AC17)</f>
        <v>10</v>
      </c>
      <c r="AA17" s="57">
        <f>COUNTIFS($G$3:$G$228,X17,$B$3:$B$228,"V")+COUNTIFS($K$3:$K$228,X17,$P$3:$P$228,"V")</f>
        <v>3</v>
      </c>
      <c r="AB17" s="57">
        <f>COUNTIFS($G$3:$G$228,X17,$B$3:$B$228,"E",$H$3:$H$228,"&lt;&gt;"&amp;"")+COUNTIFS($K$3:$K$228,X17,$P$3:$P$228,"E",$J$3:$J$228,"&lt;&gt;"&amp;"")</f>
        <v>1</v>
      </c>
      <c r="AC17" s="57">
        <f>COUNTIFS($G$3:$G$228,X17,$B$3:$B$228,"D")+COUNTIFS($K$3:$K$228,X17,$P$3:$P$228,"D")</f>
        <v>6</v>
      </c>
      <c r="AD17" s="57">
        <f>SUMIFS($C$3:$C$228,$G$3:$G$228,X17)+SUMIFS($O$3:$O$228,$K$3:$K$228,X17)</f>
        <v>792.64</v>
      </c>
      <c r="AE17" s="57">
        <f>SUMIFS($D$3:$D$228,$G$3:$G$228,X17)+SUMIFS($N$3:$N$228,$K$3:$K$228,X17)</f>
        <v>937.68999999999994</v>
      </c>
      <c r="AF17" s="65">
        <f>SUM(AD17-AE17)</f>
        <v>-145.04999999999995</v>
      </c>
      <c r="AG17" s="23">
        <f>SUM(AD17/Z17)</f>
        <v>79.263999999999996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3" t="s">
        <v>65</v>
      </c>
      <c r="G18" s="54" t="s">
        <v>99</v>
      </c>
      <c r="H18" s="53">
        <v>89.4</v>
      </c>
      <c r="I18" s="1" t="s">
        <v>52</v>
      </c>
      <c r="J18" s="60">
        <v>76.709999999999994</v>
      </c>
      <c r="K18" s="54" t="s">
        <v>76</v>
      </c>
      <c r="L18" s="53" t="s">
        <v>77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78</v>
      </c>
      <c r="Y18" s="57">
        <f>SUM((AA18*3)+AB18)</f>
        <v>10</v>
      </c>
      <c r="Z18" s="57">
        <f>SUM(AA18+AB18+AC18)</f>
        <v>10</v>
      </c>
      <c r="AA18" s="57">
        <f>COUNTIFS($G$3:$G$228,X18,$B$3:$B$228,"V")+COUNTIFS($K$3:$K$228,X18,$P$3:$P$228,"V")</f>
        <v>2</v>
      </c>
      <c r="AB18" s="57">
        <f>COUNTIFS($G$3:$G$228,X18,$B$3:$B$228,"E",$H$3:$H$228,"&lt;&gt;"&amp;"")+COUNTIFS($K$3:$K$228,X18,$P$3:$P$228,"E",$J$3:$J$228,"&lt;&gt;"&amp;"")</f>
        <v>4</v>
      </c>
      <c r="AC18" s="57">
        <f>COUNTIFS($G$3:$G$228,X18,$B$3:$B$228,"D")+COUNTIFS($K$3:$K$228,X18,$P$3:$P$228,"D")</f>
        <v>4</v>
      </c>
      <c r="AD18" s="57">
        <f>SUMIFS($C$3:$C$228,$G$3:$G$228,X18)+SUMIFS($O$3:$O$228,$K$3:$K$228,X18)</f>
        <v>886.98</v>
      </c>
      <c r="AE18" s="57">
        <f>SUMIFS($D$3:$D$228,$G$3:$G$228,X18)+SUMIFS($N$3:$N$228,$K$3:$K$228,X18)</f>
        <v>951.3599999999999</v>
      </c>
      <c r="AF18" s="57">
        <f>SUM(AD18-AE18)</f>
        <v>-64.379999999999882</v>
      </c>
      <c r="AG18" s="23">
        <f>SUM(AD18/Z18)</f>
        <v>88.698000000000008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3" t="s">
        <v>81</v>
      </c>
      <c r="G19" s="54" t="s">
        <v>80</v>
      </c>
      <c r="H19" s="60">
        <v>79.150000000000006</v>
      </c>
      <c r="I19" s="1" t="s">
        <v>52</v>
      </c>
      <c r="J19" s="67">
        <v>85.11</v>
      </c>
      <c r="K19" s="54" t="s">
        <v>74</v>
      </c>
      <c r="L19" s="53" t="s">
        <v>75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6" t="s">
        <v>82</v>
      </c>
      <c r="Y19" s="57">
        <f>SUM((AA19*3)+AB19)</f>
        <v>8</v>
      </c>
      <c r="Z19" s="57">
        <f>SUM(AA19+AB19+AC19)</f>
        <v>10</v>
      </c>
      <c r="AA19" s="57">
        <f>COUNTIFS($G$3:$G$228,X19,$B$3:$B$228,"V")+COUNTIFS($K$3:$K$228,X19,$P$3:$P$228,"V")</f>
        <v>2</v>
      </c>
      <c r="AB19" s="57">
        <f>COUNTIFS($G$3:$G$228,X19,$B$3:$B$228,"E",$H$3:$H$228,"&lt;&gt;"&amp;"")+COUNTIFS($K$3:$K$228,X19,$P$3:$P$228,"E",$J$3:$J$228,"&lt;&gt;"&amp;"")</f>
        <v>2</v>
      </c>
      <c r="AC19" s="57">
        <f>COUNTIFS($G$3:$G$228,X19,$B$3:$B$228,"D")+COUNTIFS($K$3:$K$228,X19,$P$3:$P$228,"D")</f>
        <v>6</v>
      </c>
      <c r="AD19" s="57">
        <f>SUMIFS($C$3:$C$228,$G$3:$G$228,X19)+SUMIFS($O$3:$O$228,$K$3:$K$228,X19)</f>
        <v>859.61999999999989</v>
      </c>
      <c r="AE19" s="57">
        <f>SUMIFS($D$3:$D$228,$G$3:$G$228,X19)+SUMIFS($N$3:$N$228,$K$3:$K$228,X19)</f>
        <v>881.36</v>
      </c>
      <c r="AF19" s="57">
        <f>SUM(AD19-AE19)</f>
        <v>-21.740000000000123</v>
      </c>
      <c r="AG19" s="23">
        <f>SUM(AD19/Z19)</f>
        <v>85.961999999999989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3" t="s">
        <v>83</v>
      </c>
      <c r="G20" s="54" t="s">
        <v>64</v>
      </c>
      <c r="H20" s="60">
        <v>76.25</v>
      </c>
      <c r="I20" s="1" t="s">
        <v>52</v>
      </c>
      <c r="J20" s="67">
        <v>88.11</v>
      </c>
      <c r="K20" s="54" t="s">
        <v>98</v>
      </c>
      <c r="L20" s="53" t="s">
        <v>97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6" t="s">
        <v>69</v>
      </c>
      <c r="Y20" s="65">
        <f>SUM((AA20*3)+AB20)</f>
        <v>8</v>
      </c>
      <c r="Z20" s="65">
        <f>SUM(AA20+AB20+AC20)</f>
        <v>10</v>
      </c>
      <c r="AA20" s="57">
        <f>COUNTIFS($G$3:$G$228,X20,$B$3:$B$228,"V")+COUNTIFS($K$3:$K$228,X20,$P$3:$P$228,"V")</f>
        <v>2</v>
      </c>
      <c r="AB20" s="57">
        <f>COUNTIFS($G$3:$G$228,X20,$B$3:$B$228,"E",$H$3:$H$228,"&lt;&gt;"&amp;"")+COUNTIFS($K$3:$K$228,X20,$P$3:$P$228,"E",$J$3:$J$228,"&lt;&gt;"&amp;"")</f>
        <v>2</v>
      </c>
      <c r="AC20" s="57">
        <f>COUNTIFS($G$3:$G$228,X20,$B$3:$B$228,"D")+COUNTIFS($K$3:$K$228,X20,$P$3:$P$228,"D")</f>
        <v>6</v>
      </c>
      <c r="AD20" s="57">
        <f>SUMIFS($C$3:$C$228,$G$3:$G$228,X20)+SUMIFS($O$3:$O$228,$K$3:$K$228,X20)</f>
        <v>846.19</v>
      </c>
      <c r="AE20" s="57">
        <f>SUMIFS($D$3:$D$228,$G$3:$G$228,X20)+SUMIFS($N$3:$N$228,$K$3:$K$228,X20)</f>
        <v>917.87999999999988</v>
      </c>
      <c r="AF20" s="65">
        <f>SUM(AD20-AE20)</f>
        <v>-71.689999999999827</v>
      </c>
      <c r="AG20" s="23">
        <f>SUM(AD20/Z20)</f>
        <v>84.619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3" t="s">
        <v>70</v>
      </c>
      <c r="G21" s="54" t="s">
        <v>69</v>
      </c>
      <c r="H21" s="60">
        <v>75.28</v>
      </c>
      <c r="I21" s="1" t="s">
        <v>52</v>
      </c>
      <c r="J21" s="67">
        <v>97.58</v>
      </c>
      <c r="K21" s="54" t="s">
        <v>84</v>
      </c>
      <c r="L21" s="53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50" t="s">
        <v>80</v>
      </c>
      <c r="Y21" s="49">
        <f>SUM((AA21*3)+AB21)</f>
        <v>8</v>
      </c>
      <c r="Z21" s="49">
        <f>SUM(AA21+AB21+AC21)</f>
        <v>10</v>
      </c>
      <c r="AA21" s="49">
        <f>COUNTIFS($G$3:$G$228,X21,$B$3:$B$228,"V")+COUNTIFS($K$3:$K$228,X21,$P$3:$P$228,"V")</f>
        <v>1</v>
      </c>
      <c r="AB21" s="49">
        <f>COUNTIFS($G$3:$G$228,X21,$B$3:$B$228,"E",$H$3:$H$228,"&lt;&gt;"&amp;"")+COUNTIFS($K$3:$K$228,X21,$P$3:$P$228,"E",$J$3:$J$228,"&lt;&gt;"&amp;"")</f>
        <v>5</v>
      </c>
      <c r="AC21" s="49">
        <f>COUNTIFS($G$3:$G$228,X21,$B$3:$B$228,"D")+COUNTIFS($K$3:$K$228,X21,$P$3:$P$228,"D")</f>
        <v>4</v>
      </c>
      <c r="AD21" s="49">
        <f>SUMIFS($C$3:$C$228,$G$3:$G$228,X21)+SUMIFS($O$3:$O$228,$K$3:$K$228,X21)</f>
        <v>863.81999999999994</v>
      </c>
      <c r="AE21" s="49">
        <f>SUMIFS($D$3:$D$228,$G$3:$G$228,X21)+SUMIFS($N$3:$N$228,$K$3:$K$228,X21)</f>
        <v>892.86</v>
      </c>
      <c r="AF21" s="57">
        <f>SUM(AD21-AE21)</f>
        <v>-29.040000000000077</v>
      </c>
      <c r="AG21" s="23">
        <f>SUM(AD21/Z21)</f>
        <v>86.381999999999991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3" t="s">
        <v>63</v>
      </c>
      <c r="G22" s="54" t="s">
        <v>86</v>
      </c>
      <c r="H22" s="53">
        <v>84.15</v>
      </c>
      <c r="I22" s="1" t="s">
        <v>52</v>
      </c>
      <c r="J22" s="60">
        <v>78.55</v>
      </c>
      <c r="K22" s="54" t="s">
        <v>82</v>
      </c>
      <c r="L22" s="53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1" t="s">
        <v>89</v>
      </c>
      <c r="Y22" s="33">
        <f>SUM((AA22*3)+AB22)</f>
        <v>2</v>
      </c>
      <c r="Z22" s="33">
        <f>SUM(AA22+AB22+AC22)</f>
        <v>10</v>
      </c>
      <c r="AA22" s="33">
        <f>COUNTIFS($G$3:$G$228,X22,$B$3:$B$228,"V")+COUNTIFS($K$3:$K$228,X22,$P$3:$P$228,"V")</f>
        <v>0</v>
      </c>
      <c r="AB22" s="33">
        <f>COUNTIFS($G$3:$G$228,X22,$B$3:$B$228,"E",$H$3:$H$228,"&lt;&gt;"&amp;"")+COUNTIFS($K$3:$K$228,X22,$P$3:$P$228,"E",$J$3:$J$228,"&lt;&gt;"&amp;"")</f>
        <v>2</v>
      </c>
      <c r="AC22" s="33">
        <f>COUNTIFS($G$3:$G$228,X22,$B$3:$B$228,"D")+COUNTIFS($K$3:$K$228,X22,$P$3:$P$228,"D")</f>
        <v>8</v>
      </c>
      <c r="AD22" s="33">
        <f>SUMIFS($C$3:$C$228,$G$3:$G$228,X22)+SUMIFS($O$3:$O$228,$K$3:$K$228,X22)</f>
        <v>650.21</v>
      </c>
      <c r="AE22" s="33">
        <f>SUMIFS($D$3:$D$228,$G$3:$G$228,X22)+SUMIFS($N$3:$N$228,$K$3:$K$228,X22)</f>
        <v>858.39</v>
      </c>
      <c r="AF22" s="33">
        <f>SUM(AD22-AE22)</f>
        <v>-208.17999999999995</v>
      </c>
      <c r="AG22" s="24">
        <f>SUM(AD22/Z22)</f>
        <v>65.021000000000001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3" t="s">
        <v>66</v>
      </c>
      <c r="G23" s="54" t="s">
        <v>67</v>
      </c>
      <c r="H23" s="60">
        <v>69.349999999999994</v>
      </c>
      <c r="I23" s="1" t="s">
        <v>52</v>
      </c>
      <c r="J23" s="67">
        <v>84.5</v>
      </c>
      <c r="K23" s="54" t="s">
        <v>100</v>
      </c>
      <c r="L23" s="53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3" t="s">
        <v>88</v>
      </c>
      <c r="G24" s="54" t="s">
        <v>87</v>
      </c>
      <c r="H24" s="68">
        <v>91.05</v>
      </c>
      <c r="I24" s="1" t="s">
        <v>52</v>
      </c>
      <c r="J24" s="68">
        <v>94.34</v>
      </c>
      <c r="K24" s="54" t="s">
        <v>78</v>
      </c>
      <c r="L24" s="53" t="s">
        <v>79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3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3" t="s">
        <v>2</v>
      </c>
      <c r="H26" s="1"/>
      <c r="I26" s="1"/>
      <c r="J26" s="1"/>
      <c r="K26" s="53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3" t="s">
        <v>90</v>
      </c>
      <c r="G27" s="54" t="s">
        <v>89</v>
      </c>
      <c r="H27" s="60">
        <v>39.950000000000003</v>
      </c>
      <c r="I27" s="1" t="s">
        <v>52</v>
      </c>
      <c r="J27" s="67">
        <v>69.010000000000005</v>
      </c>
      <c r="K27" s="54" t="s">
        <v>64</v>
      </c>
      <c r="L27" s="53" t="s">
        <v>83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3" t="s">
        <v>94</v>
      </c>
      <c r="G28" s="54" t="s">
        <v>93</v>
      </c>
      <c r="H28" s="67">
        <v>79.959999999999994</v>
      </c>
      <c r="I28" s="1" t="s">
        <v>52</v>
      </c>
      <c r="J28" s="60">
        <v>72.91</v>
      </c>
      <c r="K28" s="54" t="s">
        <v>91</v>
      </c>
      <c r="L28" s="53" t="s">
        <v>92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3" t="s">
        <v>72</v>
      </c>
      <c r="G29" s="54" t="s">
        <v>73</v>
      </c>
      <c r="H29" s="68">
        <v>66.61</v>
      </c>
      <c r="I29" s="1" t="s">
        <v>52</v>
      </c>
      <c r="J29" s="68">
        <v>70.900000000000006</v>
      </c>
      <c r="K29" s="54" t="s">
        <v>82</v>
      </c>
      <c r="L29" s="53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3" t="s">
        <v>97</v>
      </c>
      <c r="G30" s="54" t="s">
        <v>98</v>
      </c>
      <c r="H30" s="60">
        <v>65.81</v>
      </c>
      <c r="I30" s="1" t="s">
        <v>52</v>
      </c>
      <c r="J30" s="53">
        <v>79.81</v>
      </c>
      <c r="K30" s="54" t="s">
        <v>86</v>
      </c>
      <c r="L30" s="53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3" t="s">
        <v>81</v>
      </c>
      <c r="G31" s="54" t="s">
        <v>80</v>
      </c>
      <c r="H31" s="68">
        <v>82.16</v>
      </c>
      <c r="I31" s="1" t="s">
        <v>52</v>
      </c>
      <c r="J31" s="68">
        <v>77.510000000000005</v>
      </c>
      <c r="K31" s="54" t="s">
        <v>67</v>
      </c>
      <c r="L31" s="53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3" t="s">
        <v>60</v>
      </c>
      <c r="G32" s="54" t="s">
        <v>100</v>
      </c>
      <c r="H32" s="67">
        <v>61.6</v>
      </c>
      <c r="I32" s="1" t="s">
        <v>52</v>
      </c>
      <c r="J32" s="60">
        <v>53.6</v>
      </c>
      <c r="K32" s="54" t="s">
        <v>74</v>
      </c>
      <c r="L32" s="53" t="s">
        <v>75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3" t="s">
        <v>70</v>
      </c>
      <c r="G33" s="54" t="s">
        <v>69</v>
      </c>
      <c r="H33" s="60">
        <v>66.81</v>
      </c>
      <c r="I33" s="1" t="s">
        <v>52</v>
      </c>
      <c r="J33" s="53">
        <v>78.260000000000005</v>
      </c>
      <c r="K33" s="54" t="s">
        <v>99</v>
      </c>
      <c r="L33" s="53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3" t="s">
        <v>62</v>
      </c>
      <c r="G34" s="54" t="s">
        <v>84</v>
      </c>
      <c r="H34" s="67">
        <v>86.96</v>
      </c>
      <c r="I34" s="1" t="s">
        <v>52</v>
      </c>
      <c r="J34" s="60">
        <v>72.31</v>
      </c>
      <c r="K34" s="54" t="s">
        <v>78</v>
      </c>
      <c r="L34" s="53" t="s">
        <v>79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3" t="s">
        <v>96</v>
      </c>
      <c r="G35" s="54" t="s">
        <v>95</v>
      </c>
      <c r="H35" s="60">
        <v>71.81</v>
      </c>
      <c r="I35" s="1" t="s">
        <v>52</v>
      </c>
      <c r="J35" s="67">
        <v>79.16</v>
      </c>
      <c r="K35" s="54" t="s">
        <v>76</v>
      </c>
      <c r="L35" s="53" t="s">
        <v>77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3" t="s">
        <v>88</v>
      </c>
      <c r="G36" s="54" t="s">
        <v>87</v>
      </c>
      <c r="H36" s="60">
        <v>80.209999999999994</v>
      </c>
      <c r="I36" s="1" t="s">
        <v>52</v>
      </c>
      <c r="J36" s="67">
        <v>95.26</v>
      </c>
      <c r="K36" s="54" t="s">
        <v>71</v>
      </c>
      <c r="L36" s="53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3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3" t="s">
        <v>2</v>
      </c>
      <c r="H38" s="1"/>
      <c r="I38" s="1"/>
      <c r="J38" s="1"/>
      <c r="K38" s="53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3" t="s">
        <v>79</v>
      </c>
      <c r="G39" s="54" t="s">
        <v>78</v>
      </c>
      <c r="H39" s="68">
        <v>56.37</v>
      </c>
      <c r="I39" s="1" t="s">
        <v>52</v>
      </c>
      <c r="J39" s="68">
        <v>59.57</v>
      </c>
      <c r="K39" s="54" t="s">
        <v>100</v>
      </c>
      <c r="L39" s="53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3" t="s">
        <v>77</v>
      </c>
      <c r="G40" s="54" t="s">
        <v>76</v>
      </c>
      <c r="H40" s="68">
        <v>51.35</v>
      </c>
      <c r="I40" s="1" t="s">
        <v>52</v>
      </c>
      <c r="J40" s="68">
        <v>49.33</v>
      </c>
      <c r="K40" s="54" t="s">
        <v>80</v>
      </c>
      <c r="L40" s="53" t="s">
        <v>81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3" t="s">
        <v>92</v>
      </c>
      <c r="G41" s="54" t="s">
        <v>91</v>
      </c>
      <c r="H41" s="67">
        <v>76.11</v>
      </c>
      <c r="I41" s="1" t="s">
        <v>52</v>
      </c>
      <c r="J41" s="60">
        <v>44.97</v>
      </c>
      <c r="K41" s="54" t="s">
        <v>69</v>
      </c>
      <c r="L41" s="53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3" t="s">
        <v>65</v>
      </c>
      <c r="G42" s="54" t="s">
        <v>99</v>
      </c>
      <c r="H42" s="53">
        <v>86.9</v>
      </c>
      <c r="I42" s="1" t="s">
        <v>52</v>
      </c>
      <c r="J42" s="60">
        <v>71.22</v>
      </c>
      <c r="K42" s="54" t="s">
        <v>89</v>
      </c>
      <c r="L42" s="53" t="s">
        <v>90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3" t="s">
        <v>75</v>
      </c>
      <c r="G43" s="54" t="s">
        <v>74</v>
      </c>
      <c r="H43" s="60">
        <v>61.75</v>
      </c>
      <c r="I43" s="1" t="s">
        <v>52</v>
      </c>
      <c r="J43" s="67">
        <v>75.27</v>
      </c>
      <c r="K43" s="54" t="s">
        <v>84</v>
      </c>
      <c r="L43" s="53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3" t="s">
        <v>83</v>
      </c>
      <c r="G44" s="54" t="s">
        <v>64</v>
      </c>
      <c r="H44" s="60">
        <v>62.45</v>
      </c>
      <c r="I44" s="1" t="s">
        <v>52</v>
      </c>
      <c r="J44" s="67">
        <v>78.45</v>
      </c>
      <c r="K44" s="54" t="s">
        <v>87</v>
      </c>
      <c r="L44" s="53" t="s">
        <v>88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3" t="s">
        <v>68</v>
      </c>
      <c r="G45" s="54" t="s">
        <v>71</v>
      </c>
      <c r="H45" s="68">
        <v>61.85</v>
      </c>
      <c r="I45" s="1" t="s">
        <v>52</v>
      </c>
      <c r="J45" s="68">
        <v>65.069999999999993</v>
      </c>
      <c r="K45" s="54" t="s">
        <v>98</v>
      </c>
      <c r="L45" s="53" t="s">
        <v>97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3" t="s">
        <v>63</v>
      </c>
      <c r="G46" s="54" t="s">
        <v>86</v>
      </c>
      <c r="H46" s="53">
        <v>76.150000000000006</v>
      </c>
      <c r="I46" s="1" t="s">
        <v>52</v>
      </c>
      <c r="J46" s="60">
        <v>57.77</v>
      </c>
      <c r="K46" s="54" t="s">
        <v>73</v>
      </c>
      <c r="L46" s="53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3" t="s">
        <v>66</v>
      </c>
      <c r="G47" s="54" t="s">
        <v>67</v>
      </c>
      <c r="H47" s="67">
        <v>65.27</v>
      </c>
      <c r="I47" s="1" t="s">
        <v>52</v>
      </c>
      <c r="J47" s="60">
        <v>56.45</v>
      </c>
      <c r="K47" s="54" t="s">
        <v>93</v>
      </c>
      <c r="L47" s="53" t="s">
        <v>94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3" t="s">
        <v>61</v>
      </c>
      <c r="G48" s="54" t="s">
        <v>82</v>
      </c>
      <c r="H48" s="60">
        <v>66.05</v>
      </c>
      <c r="I48" s="1" t="s">
        <v>52</v>
      </c>
      <c r="J48" s="67">
        <v>77.400000000000006</v>
      </c>
      <c r="K48" s="54" t="s">
        <v>95</v>
      </c>
      <c r="L48" s="53" t="s">
        <v>96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3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3" t="s">
        <v>2</v>
      </c>
      <c r="H50" s="1"/>
      <c r="I50" s="1"/>
      <c r="J50" s="1"/>
      <c r="K50" s="53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3" t="s">
        <v>79</v>
      </c>
      <c r="G51" s="54" t="s">
        <v>78</v>
      </c>
      <c r="H51" s="68">
        <v>119</v>
      </c>
      <c r="I51" s="1" t="s">
        <v>52</v>
      </c>
      <c r="J51" s="68">
        <v>117.62</v>
      </c>
      <c r="K51" s="54" t="s">
        <v>76</v>
      </c>
      <c r="L51" s="53" t="s">
        <v>77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3" t="s">
        <v>94</v>
      </c>
      <c r="G52" s="54" t="s">
        <v>93</v>
      </c>
      <c r="H52" s="67">
        <v>123.47</v>
      </c>
      <c r="I52" s="1" t="s">
        <v>52</v>
      </c>
      <c r="J52" s="60">
        <v>112.22</v>
      </c>
      <c r="K52" s="54" t="s">
        <v>100</v>
      </c>
      <c r="L52" s="53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3" t="s">
        <v>72</v>
      </c>
      <c r="G53" s="54" t="s">
        <v>73</v>
      </c>
      <c r="H53" s="67">
        <v>124.84</v>
      </c>
      <c r="I53" s="1" t="s">
        <v>52</v>
      </c>
      <c r="J53" s="60">
        <v>114.92</v>
      </c>
      <c r="K53" s="54" t="s">
        <v>98</v>
      </c>
      <c r="L53" s="53" t="s">
        <v>97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3" t="s">
        <v>65</v>
      </c>
      <c r="G54" s="54" t="s">
        <v>99</v>
      </c>
      <c r="H54" s="53">
        <v>127.97</v>
      </c>
      <c r="I54" s="1" t="s">
        <v>52</v>
      </c>
      <c r="J54" s="60">
        <v>109.8</v>
      </c>
      <c r="K54" s="54" t="s">
        <v>84</v>
      </c>
      <c r="L54" s="53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3" t="s">
        <v>75</v>
      </c>
      <c r="G55" s="54" t="s">
        <v>74</v>
      </c>
      <c r="H55" s="68">
        <v>115.04</v>
      </c>
      <c r="I55" s="1" t="s">
        <v>52</v>
      </c>
      <c r="J55" s="68">
        <v>118.77</v>
      </c>
      <c r="K55" s="54" t="s">
        <v>95</v>
      </c>
      <c r="L55" s="53" t="s">
        <v>96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3" t="s">
        <v>83</v>
      </c>
      <c r="G56" s="54" t="s">
        <v>64</v>
      </c>
      <c r="H56" s="67">
        <v>126.1</v>
      </c>
      <c r="I56" s="1" t="s">
        <v>52</v>
      </c>
      <c r="J56" s="60">
        <v>106.97</v>
      </c>
      <c r="K56" s="54" t="s">
        <v>80</v>
      </c>
      <c r="L56" s="53" t="s">
        <v>81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3" t="s">
        <v>68</v>
      </c>
      <c r="G57" s="54" t="s">
        <v>71</v>
      </c>
      <c r="H57" s="68">
        <v>116.57</v>
      </c>
      <c r="I57" s="1" t="s">
        <v>52</v>
      </c>
      <c r="J57" s="68">
        <v>120.72</v>
      </c>
      <c r="K57" s="54" t="s">
        <v>91</v>
      </c>
      <c r="L57" s="53" t="s">
        <v>92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3" t="s">
        <v>63</v>
      </c>
      <c r="G58" s="54" t="s">
        <v>86</v>
      </c>
      <c r="H58" s="53">
        <v>92.58</v>
      </c>
      <c r="I58" s="1" t="s">
        <v>52</v>
      </c>
      <c r="J58" s="60">
        <v>81.099999999999994</v>
      </c>
      <c r="K58" s="54" t="s">
        <v>89</v>
      </c>
      <c r="L58" s="53" t="s">
        <v>90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3" t="s">
        <v>66</v>
      </c>
      <c r="G59" s="54" t="s">
        <v>67</v>
      </c>
      <c r="H59" s="67">
        <v>116.27</v>
      </c>
      <c r="I59" s="1" t="s">
        <v>52</v>
      </c>
      <c r="J59" s="60">
        <v>108.92</v>
      </c>
      <c r="K59" s="54" t="s">
        <v>69</v>
      </c>
      <c r="L59" s="53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3" t="s">
        <v>61</v>
      </c>
      <c r="G60" s="54" t="s">
        <v>82</v>
      </c>
      <c r="H60" s="60">
        <v>103.77</v>
      </c>
      <c r="I60" s="1" t="s">
        <v>52</v>
      </c>
      <c r="J60" s="67">
        <v>126.32</v>
      </c>
      <c r="K60" s="54" t="s">
        <v>87</v>
      </c>
      <c r="L60" s="53" t="s">
        <v>88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3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3" t="s">
        <v>2</v>
      </c>
      <c r="H62" s="1"/>
      <c r="I62" s="1"/>
      <c r="J62" s="1"/>
      <c r="K62" s="53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-18.660000000000004</v>
      </c>
      <c r="B63" s="4" t="str">
        <f t="shared" si="8"/>
        <v>D</v>
      </c>
      <c r="C63" s="4">
        <f t="shared" si="2"/>
        <v>51.77</v>
      </c>
      <c r="D63" s="4">
        <f t="shared" si="3"/>
        <v>70.430000000000007</v>
      </c>
      <c r="E63" s="3"/>
      <c r="F63" s="53" t="s">
        <v>90</v>
      </c>
      <c r="G63" s="54" t="s">
        <v>89</v>
      </c>
      <c r="H63" s="60">
        <v>51.77</v>
      </c>
      <c r="I63" s="1" t="s">
        <v>52</v>
      </c>
      <c r="J63" s="67">
        <v>70.430000000000007</v>
      </c>
      <c r="K63" s="54" t="s">
        <v>93</v>
      </c>
      <c r="L63" s="53" t="s">
        <v>94</v>
      </c>
      <c r="M63" s="3"/>
      <c r="N63" s="4">
        <f t="shared" si="4"/>
        <v>51.77</v>
      </c>
      <c r="O63" s="4">
        <f t="shared" si="5"/>
        <v>70.430000000000007</v>
      </c>
      <c r="P63" s="4" t="str">
        <f t="shared" si="6"/>
        <v>V</v>
      </c>
      <c r="Q63" s="4">
        <f t="shared" si="7"/>
        <v>18.660000000000004</v>
      </c>
      <c r="X63" s="34"/>
    </row>
    <row r="64" spans="1:24" ht="17.25" customHeight="1" x14ac:dyDescent="0.25">
      <c r="A64" s="4">
        <f t="shared" si="0"/>
        <v>45.289999999999992</v>
      </c>
      <c r="B64" s="4" t="str">
        <f t="shared" si="8"/>
        <v>V</v>
      </c>
      <c r="C64" s="4">
        <f t="shared" si="2"/>
        <v>122.63</v>
      </c>
      <c r="D64" s="4">
        <f t="shared" si="3"/>
        <v>77.34</v>
      </c>
      <c r="E64" s="3"/>
      <c r="F64" s="53" t="s">
        <v>77</v>
      </c>
      <c r="G64" s="54" t="s">
        <v>76</v>
      </c>
      <c r="H64" s="67">
        <v>122.63</v>
      </c>
      <c r="I64" s="1" t="s">
        <v>52</v>
      </c>
      <c r="J64" s="60">
        <v>77.34</v>
      </c>
      <c r="K64" s="54" t="s">
        <v>64</v>
      </c>
      <c r="L64" s="53" t="s">
        <v>83</v>
      </c>
      <c r="M64" s="3"/>
      <c r="N64" s="4">
        <f t="shared" si="4"/>
        <v>122.63</v>
      </c>
      <c r="O64" s="4">
        <f t="shared" si="5"/>
        <v>77.34</v>
      </c>
      <c r="P64" s="4" t="str">
        <f t="shared" si="6"/>
        <v>D</v>
      </c>
      <c r="Q64" s="4">
        <f t="shared" si="7"/>
        <v>-45.289999999999992</v>
      </c>
      <c r="X64" s="34"/>
    </row>
    <row r="65" spans="1:24" ht="17.25" customHeight="1" x14ac:dyDescent="0.25">
      <c r="A65" s="4">
        <f t="shared" si="0"/>
        <v>2.0300000000000011</v>
      </c>
      <c r="B65" s="4" t="str">
        <f t="shared" si="8"/>
        <v>E</v>
      </c>
      <c r="C65" s="4">
        <f t="shared" si="2"/>
        <v>97.13</v>
      </c>
      <c r="D65" s="4">
        <f t="shared" si="3"/>
        <v>95.1</v>
      </c>
      <c r="E65" s="3"/>
      <c r="F65" s="53" t="s">
        <v>92</v>
      </c>
      <c r="G65" s="54" t="s">
        <v>91</v>
      </c>
      <c r="H65" s="60">
        <v>97.13</v>
      </c>
      <c r="I65" s="1" t="s">
        <v>52</v>
      </c>
      <c r="J65" s="60">
        <v>95.1</v>
      </c>
      <c r="K65" s="54" t="s">
        <v>74</v>
      </c>
      <c r="L65" s="53" t="s">
        <v>75</v>
      </c>
      <c r="M65" s="3"/>
      <c r="N65" s="4">
        <f t="shared" si="4"/>
        <v>97.13</v>
      </c>
      <c r="O65" s="4">
        <f t="shared" si="5"/>
        <v>95.1</v>
      </c>
      <c r="P65" s="4" t="str">
        <f t="shared" si="6"/>
        <v>E</v>
      </c>
      <c r="Q65" s="4">
        <f t="shared" si="7"/>
        <v>-2.0300000000000011</v>
      </c>
      <c r="X65" s="35"/>
    </row>
    <row r="66" spans="1:24" ht="17.25" customHeight="1" x14ac:dyDescent="0.25">
      <c r="A66" s="4">
        <f t="shared" si="0"/>
        <v>7.3300000000000125</v>
      </c>
      <c r="B66" s="4" t="str">
        <f t="shared" si="8"/>
        <v>V</v>
      </c>
      <c r="C66" s="4">
        <f t="shared" si="2"/>
        <v>109.65</v>
      </c>
      <c r="D66" s="4">
        <f t="shared" si="3"/>
        <v>102.32</v>
      </c>
      <c r="E66" s="3"/>
      <c r="F66" s="53" t="s">
        <v>97</v>
      </c>
      <c r="G66" s="54" t="s">
        <v>98</v>
      </c>
      <c r="H66" s="67">
        <v>109.65</v>
      </c>
      <c r="I66" s="1" t="s">
        <v>52</v>
      </c>
      <c r="J66" s="60">
        <v>102.32</v>
      </c>
      <c r="K66" s="54" t="s">
        <v>78</v>
      </c>
      <c r="L66" s="53" t="s">
        <v>79</v>
      </c>
      <c r="M66" s="3"/>
      <c r="N66" s="4">
        <f t="shared" si="4"/>
        <v>109.65</v>
      </c>
      <c r="O66" s="4">
        <f t="shared" si="5"/>
        <v>102.32</v>
      </c>
      <c r="P66" s="4" t="str">
        <f t="shared" si="6"/>
        <v>D</v>
      </c>
      <c r="Q66" s="4">
        <f t="shared" si="7"/>
        <v>-7.3300000000000125</v>
      </c>
      <c r="X66" s="34"/>
    </row>
    <row r="67" spans="1:24" ht="17.25" customHeight="1" x14ac:dyDescent="0.25">
      <c r="A67" s="4">
        <f t="shared" si="0"/>
        <v>3.5</v>
      </c>
      <c r="B67" s="4" t="str">
        <f t="shared" si="8"/>
        <v>E</v>
      </c>
      <c r="C67" s="4">
        <f t="shared" si="2"/>
        <v>105.83</v>
      </c>
      <c r="D67" s="4">
        <f t="shared" si="3"/>
        <v>102.33</v>
      </c>
      <c r="E67" s="3"/>
      <c r="F67" s="53" t="s">
        <v>81</v>
      </c>
      <c r="G67" s="54" t="s">
        <v>80</v>
      </c>
      <c r="H67" s="60">
        <v>105.83</v>
      </c>
      <c r="I67" s="1" t="s">
        <v>52</v>
      </c>
      <c r="J67" s="60">
        <v>102.33</v>
      </c>
      <c r="K67" s="54" t="s">
        <v>86</v>
      </c>
      <c r="L67" s="53" t="s">
        <v>63</v>
      </c>
      <c r="M67" s="3"/>
      <c r="N67" s="4">
        <f t="shared" si="4"/>
        <v>105.83</v>
      </c>
      <c r="O67" s="4">
        <f t="shared" si="5"/>
        <v>102.33</v>
      </c>
      <c r="P67" s="4" t="str">
        <f t="shared" si="6"/>
        <v>E</v>
      </c>
      <c r="Q67" s="4">
        <f t="shared" si="7"/>
        <v>-3.5</v>
      </c>
      <c r="X67" s="34"/>
    </row>
    <row r="68" spans="1:24" ht="17.25" customHeight="1" x14ac:dyDescent="0.25">
      <c r="A68" s="4">
        <f t="shared" ref="A68:A131" si="9">C68-D68</f>
        <v>-29.83</v>
      </c>
      <c r="B68" s="4" t="str">
        <f t="shared" si="8"/>
        <v>D</v>
      </c>
      <c r="C68" s="4">
        <f t="shared" ref="C68:C131" si="10">H68</f>
        <v>71.19</v>
      </c>
      <c r="D68" s="4">
        <f t="shared" ref="D68:D131" si="11">J68</f>
        <v>101.02</v>
      </c>
      <c r="E68" s="3"/>
      <c r="F68" s="53" t="s">
        <v>60</v>
      </c>
      <c r="G68" s="54" t="s">
        <v>100</v>
      </c>
      <c r="H68" s="60">
        <v>71.19</v>
      </c>
      <c r="I68" s="1" t="s">
        <v>52</v>
      </c>
      <c r="J68" s="67">
        <v>101.02</v>
      </c>
      <c r="K68" s="54" t="s">
        <v>82</v>
      </c>
      <c r="L68" s="53" t="s">
        <v>61</v>
      </c>
      <c r="M68" s="3"/>
      <c r="N68" s="4">
        <f t="shared" ref="N68:N131" si="12">H68</f>
        <v>71.19</v>
      </c>
      <c r="O68" s="4">
        <f t="shared" ref="O68:O131" si="13">J68</f>
        <v>101.02</v>
      </c>
      <c r="P68" s="4" t="str">
        <f t="shared" ref="P68:P131" si="14">_xlfn.IFS(Q68&gt;=5,"V",Q68&lt;=-5,"D",Q68&lt;=-4.99,"E",Q68&lt;=4.99,"E")</f>
        <v>V</v>
      </c>
      <c r="Q68" s="4">
        <f t="shared" ref="Q68:Q131" si="15">J68-H68</f>
        <v>29.83</v>
      </c>
      <c r="X68" s="34"/>
    </row>
    <row r="69" spans="1:24" ht="17.25" customHeight="1" x14ac:dyDescent="0.25">
      <c r="A69" s="4">
        <f t="shared" si="9"/>
        <v>-14.219999999999999</v>
      </c>
      <c r="B69" s="4" t="str">
        <f t="shared" si="8"/>
        <v>D</v>
      </c>
      <c r="C69" s="4">
        <f t="shared" si="10"/>
        <v>74.099999999999994</v>
      </c>
      <c r="D69" s="4">
        <f t="shared" si="11"/>
        <v>88.32</v>
      </c>
      <c r="E69" s="3"/>
      <c r="F69" s="53" t="s">
        <v>70</v>
      </c>
      <c r="G69" s="54" t="s">
        <v>69</v>
      </c>
      <c r="H69" s="60">
        <v>74.099999999999994</v>
      </c>
      <c r="I69" s="1" t="s">
        <v>52</v>
      </c>
      <c r="J69" s="67">
        <v>88.32</v>
      </c>
      <c r="K69" s="54" t="s">
        <v>73</v>
      </c>
      <c r="L69" s="53" t="s">
        <v>72</v>
      </c>
      <c r="M69" s="3"/>
      <c r="N69" s="4">
        <f t="shared" si="12"/>
        <v>74.099999999999994</v>
      </c>
      <c r="O69" s="4">
        <f t="shared" si="13"/>
        <v>88.32</v>
      </c>
      <c r="P69" s="4" t="str">
        <f t="shared" si="14"/>
        <v>V</v>
      </c>
      <c r="Q69" s="4">
        <f t="shared" si="15"/>
        <v>14.219999999999999</v>
      </c>
      <c r="X69" s="34"/>
    </row>
    <row r="70" spans="1:24" ht="17.25" customHeight="1" x14ac:dyDescent="0.25">
      <c r="A70" s="4">
        <f t="shared" si="9"/>
        <v>-54.239999999999995</v>
      </c>
      <c r="B70" s="4" t="str">
        <f t="shared" si="8"/>
        <v>D</v>
      </c>
      <c r="C70" s="4">
        <f t="shared" si="10"/>
        <v>46.09</v>
      </c>
      <c r="D70" s="4">
        <f t="shared" si="11"/>
        <v>100.33</v>
      </c>
      <c r="E70" s="3"/>
      <c r="F70" s="53" t="s">
        <v>62</v>
      </c>
      <c r="G70" s="54" t="s">
        <v>84</v>
      </c>
      <c r="H70" s="60">
        <v>46.09</v>
      </c>
      <c r="I70" s="1" t="s">
        <v>52</v>
      </c>
      <c r="J70" s="67">
        <v>100.33</v>
      </c>
      <c r="K70" s="54" t="s">
        <v>71</v>
      </c>
      <c r="L70" s="53" t="s">
        <v>68</v>
      </c>
      <c r="M70" s="3"/>
      <c r="N70" s="4">
        <f t="shared" si="12"/>
        <v>46.09</v>
      </c>
      <c r="O70" s="4">
        <f t="shared" si="13"/>
        <v>100.33</v>
      </c>
      <c r="P70" s="4" t="str">
        <f t="shared" si="14"/>
        <v>V</v>
      </c>
      <c r="Q70" s="4">
        <f t="shared" si="15"/>
        <v>54.239999999999995</v>
      </c>
      <c r="X70" s="35"/>
    </row>
    <row r="71" spans="1:24" ht="17.25" customHeight="1" x14ac:dyDescent="0.25">
      <c r="A71" s="4">
        <f t="shared" si="9"/>
        <v>12.259999999999991</v>
      </c>
      <c r="B71" s="4" t="str">
        <f t="shared" si="8"/>
        <v>V</v>
      </c>
      <c r="C71" s="4">
        <f t="shared" si="10"/>
        <v>111.55</v>
      </c>
      <c r="D71" s="4">
        <f t="shared" si="11"/>
        <v>99.29</v>
      </c>
      <c r="E71" s="3"/>
      <c r="F71" s="53" t="s">
        <v>96</v>
      </c>
      <c r="G71" s="54" t="s">
        <v>95</v>
      </c>
      <c r="H71" s="67">
        <v>111.55</v>
      </c>
      <c r="I71" s="1" t="s">
        <v>52</v>
      </c>
      <c r="J71" s="60">
        <v>99.29</v>
      </c>
      <c r="K71" s="54" t="s">
        <v>99</v>
      </c>
      <c r="L71" s="53" t="s">
        <v>65</v>
      </c>
      <c r="M71" s="3"/>
      <c r="N71" s="4">
        <f t="shared" si="12"/>
        <v>111.55</v>
      </c>
      <c r="O71" s="4">
        <f t="shared" si="13"/>
        <v>99.29</v>
      </c>
      <c r="P71" s="4" t="str">
        <f t="shared" si="14"/>
        <v>D</v>
      </c>
      <c r="Q71" s="4">
        <f t="shared" si="15"/>
        <v>-12.259999999999991</v>
      </c>
      <c r="X71" s="34"/>
    </row>
    <row r="72" spans="1:24" ht="17.25" customHeight="1" x14ac:dyDescent="0.25">
      <c r="A72" s="4">
        <f t="shared" si="9"/>
        <v>30.450000000000003</v>
      </c>
      <c r="B72" s="4" t="str">
        <f t="shared" si="8"/>
        <v>V</v>
      </c>
      <c r="C72" s="4">
        <f t="shared" si="10"/>
        <v>106.73</v>
      </c>
      <c r="D72" s="4">
        <f t="shared" si="11"/>
        <v>76.28</v>
      </c>
      <c r="E72" s="3"/>
      <c r="F72" s="53" t="s">
        <v>88</v>
      </c>
      <c r="G72" s="54" t="s">
        <v>87</v>
      </c>
      <c r="H72" s="67">
        <v>106.73</v>
      </c>
      <c r="I72" s="1" t="s">
        <v>52</v>
      </c>
      <c r="J72" s="60">
        <v>76.28</v>
      </c>
      <c r="K72" s="54" t="s">
        <v>67</v>
      </c>
      <c r="L72" s="53" t="s">
        <v>66</v>
      </c>
      <c r="M72" s="3"/>
      <c r="N72" s="4">
        <f t="shared" si="12"/>
        <v>106.73</v>
      </c>
      <c r="O72" s="4">
        <f t="shared" si="13"/>
        <v>76.28</v>
      </c>
      <c r="P72" s="4" t="str">
        <f t="shared" si="14"/>
        <v>D</v>
      </c>
      <c r="Q72" s="4">
        <f t="shared" si="15"/>
        <v>-30.450000000000003</v>
      </c>
      <c r="X72" s="35"/>
    </row>
    <row r="73" spans="1:24" ht="17.25" customHeight="1" x14ac:dyDescent="0.25">
      <c r="E73" s="3"/>
      <c r="F73" s="53" t="s">
        <v>8</v>
      </c>
      <c r="G73" s="52"/>
      <c r="H73" s="52"/>
      <c r="I73" s="52"/>
      <c r="J73" s="52"/>
      <c r="K73" s="52"/>
      <c r="L73" s="52"/>
      <c r="M73" s="3"/>
    </row>
    <row r="74" spans="1:24" ht="17.25" customHeight="1" x14ac:dyDescent="0.25">
      <c r="E74" s="3"/>
      <c r="F74" s="1" t="s">
        <v>1</v>
      </c>
      <c r="G74" s="53" t="s">
        <v>2</v>
      </c>
      <c r="H74" s="1"/>
      <c r="I74" s="1"/>
      <c r="J74" s="1"/>
      <c r="K74" s="53" t="s">
        <v>2</v>
      </c>
      <c r="L74" s="1" t="s">
        <v>1</v>
      </c>
      <c r="M74" s="3"/>
    </row>
    <row r="75" spans="1:24" ht="17.25" customHeight="1" x14ac:dyDescent="0.25">
      <c r="A75" s="4">
        <f t="shared" si="9"/>
        <v>-33.590000000000003</v>
      </c>
      <c r="B75" s="4" t="str">
        <f t="shared" si="8"/>
        <v>D</v>
      </c>
      <c r="C75" s="4">
        <f t="shared" si="10"/>
        <v>59.91</v>
      </c>
      <c r="D75" s="4">
        <f t="shared" si="11"/>
        <v>93.5</v>
      </c>
      <c r="E75" s="3"/>
      <c r="F75" s="53" t="s">
        <v>90</v>
      </c>
      <c r="G75" s="54" t="s">
        <v>89</v>
      </c>
      <c r="H75" s="69">
        <v>59.91</v>
      </c>
      <c r="I75" s="54" t="s">
        <v>52</v>
      </c>
      <c r="J75" s="67">
        <v>93.5</v>
      </c>
      <c r="K75" s="54" t="s">
        <v>87</v>
      </c>
      <c r="L75" s="53" t="s">
        <v>88</v>
      </c>
      <c r="M75" s="3"/>
      <c r="N75" s="4">
        <f t="shared" si="12"/>
        <v>59.91</v>
      </c>
      <c r="O75" s="4">
        <f t="shared" si="13"/>
        <v>93.5</v>
      </c>
      <c r="P75" s="4" t="str">
        <f t="shared" si="14"/>
        <v>V</v>
      </c>
      <c r="Q75" s="4">
        <f t="shared" si="15"/>
        <v>33.590000000000003</v>
      </c>
      <c r="X75" s="34"/>
    </row>
    <row r="76" spans="1:24" ht="17.25" customHeight="1" x14ac:dyDescent="0.25">
      <c r="A76" s="4">
        <f t="shared" si="9"/>
        <v>43.140000000000008</v>
      </c>
      <c r="B76" s="4" t="str">
        <f t="shared" si="8"/>
        <v>V</v>
      </c>
      <c r="C76" s="4">
        <f t="shared" si="10"/>
        <v>89.9</v>
      </c>
      <c r="D76" s="4">
        <f t="shared" si="11"/>
        <v>46.76</v>
      </c>
      <c r="E76" s="3"/>
      <c r="F76" s="53" t="s">
        <v>77</v>
      </c>
      <c r="G76" s="54" t="s">
        <v>76</v>
      </c>
      <c r="H76" s="67">
        <v>89.9</v>
      </c>
      <c r="I76" s="54" t="s">
        <v>52</v>
      </c>
      <c r="J76" s="69">
        <v>46.76</v>
      </c>
      <c r="K76" s="54" t="s">
        <v>84</v>
      </c>
      <c r="L76" s="53" t="s">
        <v>62</v>
      </c>
      <c r="M76" s="3"/>
      <c r="N76" s="4">
        <f t="shared" si="12"/>
        <v>89.9</v>
      </c>
      <c r="O76" s="4">
        <f t="shared" si="13"/>
        <v>46.76</v>
      </c>
      <c r="P76" s="4" t="str">
        <f t="shared" si="14"/>
        <v>D</v>
      </c>
      <c r="Q76" s="4">
        <f t="shared" si="15"/>
        <v>-43.140000000000008</v>
      </c>
      <c r="X76" s="34"/>
    </row>
    <row r="77" spans="1:24" ht="17.25" customHeight="1" x14ac:dyDescent="0.25">
      <c r="A77" s="4">
        <f t="shared" si="9"/>
        <v>31.25</v>
      </c>
      <c r="B77" s="4" t="str">
        <f t="shared" si="8"/>
        <v>V</v>
      </c>
      <c r="C77" s="4">
        <f t="shared" si="10"/>
        <v>111.05</v>
      </c>
      <c r="D77" s="4">
        <f t="shared" si="11"/>
        <v>79.8</v>
      </c>
      <c r="E77" s="3"/>
      <c r="F77" s="53" t="s">
        <v>72</v>
      </c>
      <c r="G77" s="54" t="s">
        <v>73</v>
      </c>
      <c r="H77" s="67">
        <v>111.05</v>
      </c>
      <c r="I77" s="54" t="s">
        <v>52</v>
      </c>
      <c r="J77" s="69">
        <v>79.8</v>
      </c>
      <c r="K77" s="54" t="s">
        <v>64</v>
      </c>
      <c r="L77" s="53" t="s">
        <v>83</v>
      </c>
      <c r="M77" s="3"/>
      <c r="N77" s="4">
        <f t="shared" si="12"/>
        <v>111.05</v>
      </c>
      <c r="O77" s="4">
        <f t="shared" si="13"/>
        <v>79.8</v>
      </c>
      <c r="P77" s="4" t="str">
        <f t="shared" si="14"/>
        <v>D</v>
      </c>
      <c r="Q77" s="4">
        <f t="shared" si="15"/>
        <v>-31.25</v>
      </c>
      <c r="X77" s="34"/>
    </row>
    <row r="78" spans="1:24" ht="17.25" customHeight="1" x14ac:dyDescent="0.25">
      <c r="A78" s="4">
        <f t="shared" si="9"/>
        <v>6.4599999999999937</v>
      </c>
      <c r="B78" s="4" t="str">
        <f t="shared" si="8"/>
        <v>V</v>
      </c>
      <c r="C78" s="4">
        <f t="shared" si="10"/>
        <v>99.71</v>
      </c>
      <c r="D78" s="4">
        <f t="shared" si="11"/>
        <v>93.25</v>
      </c>
      <c r="E78" s="3"/>
      <c r="F78" s="53" t="s">
        <v>97</v>
      </c>
      <c r="G78" s="54" t="s">
        <v>98</v>
      </c>
      <c r="H78" s="67">
        <v>99.71</v>
      </c>
      <c r="I78" s="54" t="s">
        <v>52</v>
      </c>
      <c r="J78" s="69">
        <v>93.25</v>
      </c>
      <c r="K78" s="54" t="s">
        <v>93</v>
      </c>
      <c r="L78" s="53" t="s">
        <v>94</v>
      </c>
      <c r="M78" s="3"/>
      <c r="N78" s="4">
        <f t="shared" si="12"/>
        <v>99.71</v>
      </c>
      <c r="O78" s="4">
        <f t="shared" si="13"/>
        <v>93.25</v>
      </c>
      <c r="P78" s="4" t="str">
        <f t="shared" si="14"/>
        <v>D</v>
      </c>
      <c r="Q78" s="4">
        <f t="shared" si="15"/>
        <v>-6.4599999999999937</v>
      </c>
      <c r="X78" s="34"/>
    </row>
    <row r="79" spans="1:24" ht="17.25" customHeight="1" x14ac:dyDescent="0.25">
      <c r="A79" s="4">
        <f t="shared" si="9"/>
        <v>-15.189999999999998</v>
      </c>
      <c r="B79" s="4" t="str">
        <f t="shared" ref="B79:B142" si="16">_xlfn.IFS(A79&gt;=5,"V",A79&lt;=-5,"D",A79&lt;=-4.99,"E",A79&lt;=4.99,"E")</f>
        <v>D</v>
      </c>
      <c r="C79" s="4">
        <f t="shared" si="10"/>
        <v>83.61</v>
      </c>
      <c r="D79" s="4">
        <f t="shared" si="11"/>
        <v>98.8</v>
      </c>
      <c r="E79" s="3"/>
      <c r="F79" s="53" t="s">
        <v>81</v>
      </c>
      <c r="G79" s="54" t="s">
        <v>80</v>
      </c>
      <c r="H79" s="69">
        <v>83.61</v>
      </c>
      <c r="I79" s="54" t="s">
        <v>52</v>
      </c>
      <c r="J79" s="67">
        <v>98.8</v>
      </c>
      <c r="K79" s="54" t="s">
        <v>91</v>
      </c>
      <c r="L79" s="53" t="s">
        <v>92</v>
      </c>
      <c r="M79" s="3"/>
      <c r="N79" s="4">
        <f t="shared" si="12"/>
        <v>83.61</v>
      </c>
      <c r="O79" s="4">
        <f t="shared" si="13"/>
        <v>98.8</v>
      </c>
      <c r="P79" s="4" t="str">
        <f t="shared" si="14"/>
        <v>V</v>
      </c>
      <c r="Q79" s="4">
        <f t="shared" si="15"/>
        <v>15.189999999999998</v>
      </c>
      <c r="X79" s="35"/>
    </row>
    <row r="80" spans="1:24" ht="17.25" customHeight="1" x14ac:dyDescent="0.25">
      <c r="A80" s="4">
        <f t="shared" si="9"/>
        <v>-10.490000000000009</v>
      </c>
      <c r="B80" s="4" t="str">
        <f t="shared" si="16"/>
        <v>D</v>
      </c>
      <c r="C80" s="4">
        <f t="shared" si="10"/>
        <v>71.91</v>
      </c>
      <c r="D80" s="4">
        <f t="shared" si="11"/>
        <v>82.4</v>
      </c>
      <c r="E80" s="3"/>
      <c r="F80" s="53" t="s">
        <v>60</v>
      </c>
      <c r="G80" s="54" t="s">
        <v>100</v>
      </c>
      <c r="H80" s="69">
        <v>71.91</v>
      </c>
      <c r="I80" s="54" t="s">
        <v>52</v>
      </c>
      <c r="J80" s="67">
        <v>82.4</v>
      </c>
      <c r="K80" s="54" t="s">
        <v>71</v>
      </c>
      <c r="L80" s="53" t="s">
        <v>68</v>
      </c>
      <c r="M80" s="3"/>
      <c r="N80" s="4">
        <f t="shared" si="12"/>
        <v>71.91</v>
      </c>
      <c r="O80" s="4">
        <f t="shared" si="13"/>
        <v>82.4</v>
      </c>
      <c r="P80" s="4" t="str">
        <f t="shared" si="14"/>
        <v>V</v>
      </c>
      <c r="Q80" s="4">
        <f t="shared" si="15"/>
        <v>10.490000000000009</v>
      </c>
      <c r="X80" s="34"/>
    </row>
    <row r="81" spans="1:34" ht="17.25" customHeight="1" x14ac:dyDescent="0.25">
      <c r="A81" s="4">
        <f t="shared" si="9"/>
        <v>1.2900000000000063</v>
      </c>
      <c r="B81" s="4" t="str">
        <f t="shared" si="16"/>
        <v>E</v>
      </c>
      <c r="C81" s="4">
        <f t="shared" si="10"/>
        <v>106</v>
      </c>
      <c r="D81" s="4">
        <f t="shared" si="11"/>
        <v>104.71</v>
      </c>
      <c r="E81" s="3"/>
      <c r="F81" s="53" t="s">
        <v>70</v>
      </c>
      <c r="G81" s="54" t="s">
        <v>69</v>
      </c>
      <c r="H81" s="68">
        <v>106</v>
      </c>
      <c r="I81" s="54" t="s">
        <v>52</v>
      </c>
      <c r="J81" s="68">
        <v>104.71</v>
      </c>
      <c r="K81" s="54" t="s">
        <v>78</v>
      </c>
      <c r="L81" s="53" t="s">
        <v>79</v>
      </c>
      <c r="M81" s="3"/>
      <c r="N81" s="4">
        <f t="shared" si="12"/>
        <v>106</v>
      </c>
      <c r="O81" s="4">
        <f t="shared" si="13"/>
        <v>104.71</v>
      </c>
      <c r="P81" s="4" t="str">
        <f t="shared" si="14"/>
        <v>E</v>
      </c>
      <c r="Q81" s="4">
        <f t="shared" si="15"/>
        <v>-1.2900000000000063</v>
      </c>
      <c r="X81" s="34"/>
    </row>
    <row r="82" spans="1:34" ht="17.25" customHeight="1" x14ac:dyDescent="0.25">
      <c r="A82" s="4">
        <f t="shared" si="9"/>
        <v>-13.440000000000012</v>
      </c>
      <c r="B82" s="4" t="str">
        <f t="shared" si="16"/>
        <v>D</v>
      </c>
      <c r="C82" s="4">
        <f t="shared" si="10"/>
        <v>89.96</v>
      </c>
      <c r="D82" s="4">
        <f t="shared" si="11"/>
        <v>103.4</v>
      </c>
      <c r="E82" s="3"/>
      <c r="F82" s="53" t="s">
        <v>63</v>
      </c>
      <c r="G82" s="54" t="s">
        <v>86</v>
      </c>
      <c r="H82" s="69">
        <v>89.96</v>
      </c>
      <c r="I82" s="54" t="s">
        <v>52</v>
      </c>
      <c r="J82" s="67">
        <v>103.4</v>
      </c>
      <c r="K82" s="54" t="s">
        <v>99</v>
      </c>
      <c r="L82" s="53" t="s">
        <v>65</v>
      </c>
      <c r="M82" s="3"/>
      <c r="N82" s="4">
        <f t="shared" si="12"/>
        <v>89.96</v>
      </c>
      <c r="O82" s="4">
        <f t="shared" si="13"/>
        <v>103.4</v>
      </c>
      <c r="P82" s="4" t="str">
        <f t="shared" si="14"/>
        <v>V</v>
      </c>
      <c r="Q82" s="4">
        <f t="shared" si="15"/>
        <v>13.440000000000012</v>
      </c>
      <c r="X82" s="34"/>
    </row>
    <row r="83" spans="1:34" ht="17.25" customHeight="1" x14ac:dyDescent="0.25">
      <c r="A83" s="4">
        <f t="shared" si="9"/>
        <v>-12.939999999999998</v>
      </c>
      <c r="B83" s="4" t="str">
        <f t="shared" si="16"/>
        <v>D</v>
      </c>
      <c r="C83" s="4">
        <f t="shared" si="10"/>
        <v>81.11</v>
      </c>
      <c r="D83" s="4">
        <f t="shared" si="11"/>
        <v>94.05</v>
      </c>
      <c r="E83" s="3"/>
      <c r="F83" s="53" t="s">
        <v>66</v>
      </c>
      <c r="G83" s="54" t="s">
        <v>67</v>
      </c>
      <c r="H83" s="69">
        <v>81.11</v>
      </c>
      <c r="I83" s="54" t="s">
        <v>52</v>
      </c>
      <c r="J83" s="67">
        <v>94.05</v>
      </c>
      <c r="K83" s="54" t="s">
        <v>95</v>
      </c>
      <c r="L83" s="53" t="s">
        <v>96</v>
      </c>
      <c r="M83" s="3"/>
      <c r="N83" s="4">
        <f t="shared" si="12"/>
        <v>81.11</v>
      </c>
      <c r="O83" s="4">
        <f t="shared" si="13"/>
        <v>94.05</v>
      </c>
      <c r="P83" s="4" t="str">
        <f t="shared" si="14"/>
        <v>V</v>
      </c>
      <c r="Q83" s="4">
        <f t="shared" si="15"/>
        <v>12.939999999999998</v>
      </c>
      <c r="X83" s="34"/>
    </row>
    <row r="84" spans="1:34" ht="17.25" customHeight="1" x14ac:dyDescent="0.25">
      <c r="A84" s="4">
        <f t="shared" si="9"/>
        <v>-7.8499999999999943</v>
      </c>
      <c r="B84" s="4" t="str">
        <f t="shared" si="16"/>
        <v>D</v>
      </c>
      <c r="C84" s="4">
        <f t="shared" si="10"/>
        <v>86.01</v>
      </c>
      <c r="D84" s="4">
        <f t="shared" si="11"/>
        <v>93.86</v>
      </c>
      <c r="E84" s="3"/>
      <c r="F84" s="53" t="s">
        <v>61</v>
      </c>
      <c r="G84" s="54" t="s">
        <v>82</v>
      </c>
      <c r="H84" s="69">
        <v>86.01</v>
      </c>
      <c r="I84" s="54" t="s">
        <v>52</v>
      </c>
      <c r="J84" s="67">
        <v>93.86</v>
      </c>
      <c r="K84" s="54" t="s">
        <v>74</v>
      </c>
      <c r="L84" s="53" t="s">
        <v>75</v>
      </c>
      <c r="M84" s="3"/>
      <c r="N84" s="4">
        <f t="shared" si="12"/>
        <v>86.01</v>
      </c>
      <c r="O84" s="4">
        <f t="shared" si="13"/>
        <v>93.86</v>
      </c>
      <c r="P84" s="4" t="str">
        <f t="shared" si="14"/>
        <v>V</v>
      </c>
      <c r="Q84" s="4">
        <f t="shared" si="15"/>
        <v>7.8499999999999943</v>
      </c>
      <c r="X84" s="35"/>
    </row>
    <row r="85" spans="1:34" ht="17.25" customHeight="1" x14ac:dyDescent="0.25">
      <c r="E85" s="3"/>
      <c r="F85" s="53" t="s">
        <v>9</v>
      </c>
      <c r="G85" s="52"/>
      <c r="H85" s="52"/>
      <c r="I85" s="52"/>
      <c r="J85" s="52"/>
      <c r="K85" s="52"/>
      <c r="L85" s="52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3" t="s">
        <v>2</v>
      </c>
      <c r="H86" s="1"/>
      <c r="I86" s="1"/>
      <c r="J86" s="1"/>
      <c r="K86" s="53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-29.400000000000006</v>
      </c>
      <c r="B87" s="4" t="str">
        <f t="shared" si="16"/>
        <v>D</v>
      </c>
      <c r="C87" s="4">
        <f t="shared" si="10"/>
        <v>57.14</v>
      </c>
      <c r="D87" s="4">
        <f t="shared" si="11"/>
        <v>86.54</v>
      </c>
      <c r="E87" s="3"/>
      <c r="F87" s="53" t="s">
        <v>79</v>
      </c>
      <c r="G87" s="54" t="s">
        <v>78</v>
      </c>
      <c r="H87" s="69">
        <v>57.14</v>
      </c>
      <c r="I87" s="54" t="s">
        <v>52</v>
      </c>
      <c r="J87" s="67">
        <v>86.54</v>
      </c>
      <c r="K87" s="54" t="s">
        <v>95</v>
      </c>
      <c r="L87" s="53" t="s">
        <v>96</v>
      </c>
      <c r="M87" s="3"/>
      <c r="N87" s="4">
        <f t="shared" si="12"/>
        <v>57.14</v>
      </c>
      <c r="O87" s="4">
        <f t="shared" si="13"/>
        <v>86.54</v>
      </c>
      <c r="P87" s="4" t="str">
        <f t="shared" si="14"/>
        <v>V</v>
      </c>
      <c r="Q87" s="4">
        <f t="shared" si="15"/>
        <v>29.400000000000006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0.75</v>
      </c>
      <c r="B88" s="4" t="str">
        <f t="shared" si="16"/>
        <v>E</v>
      </c>
      <c r="C88" s="4">
        <f t="shared" si="10"/>
        <v>69.739999999999995</v>
      </c>
      <c r="D88" s="4">
        <f t="shared" si="11"/>
        <v>68.989999999999995</v>
      </c>
      <c r="E88" s="3"/>
      <c r="F88" s="53" t="s">
        <v>94</v>
      </c>
      <c r="G88" s="54" t="s">
        <v>93</v>
      </c>
      <c r="H88" s="68">
        <v>69.739999999999995</v>
      </c>
      <c r="I88" s="54" t="s">
        <v>52</v>
      </c>
      <c r="J88" s="68">
        <v>68.989999999999995</v>
      </c>
      <c r="K88" s="54" t="s">
        <v>86</v>
      </c>
      <c r="L88" s="53" t="s">
        <v>63</v>
      </c>
      <c r="M88" s="3"/>
      <c r="N88" s="4">
        <f t="shared" si="12"/>
        <v>69.739999999999995</v>
      </c>
      <c r="O88" s="4">
        <f t="shared" si="13"/>
        <v>68.989999999999995</v>
      </c>
      <c r="P88" s="4" t="str">
        <f t="shared" si="14"/>
        <v>E</v>
      </c>
      <c r="Q88" s="4">
        <f t="shared" si="15"/>
        <v>-0.75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4.9999999999997158E-2</v>
      </c>
      <c r="B89" s="4" t="str">
        <f t="shared" si="16"/>
        <v>E</v>
      </c>
      <c r="C89" s="4">
        <f t="shared" si="10"/>
        <v>61.79</v>
      </c>
      <c r="D89" s="4">
        <f t="shared" si="11"/>
        <v>61.74</v>
      </c>
      <c r="E89" s="3"/>
      <c r="F89" s="53" t="s">
        <v>92</v>
      </c>
      <c r="G89" s="54" t="s">
        <v>91</v>
      </c>
      <c r="H89" s="68">
        <v>61.79</v>
      </c>
      <c r="I89" s="54" t="s">
        <v>52</v>
      </c>
      <c r="J89" s="68">
        <v>61.74</v>
      </c>
      <c r="K89" s="54" t="s">
        <v>89</v>
      </c>
      <c r="L89" s="53" t="s">
        <v>90</v>
      </c>
      <c r="M89" s="3"/>
      <c r="N89" s="4">
        <f t="shared" si="12"/>
        <v>61.79</v>
      </c>
      <c r="O89" s="4">
        <f t="shared" si="13"/>
        <v>61.74</v>
      </c>
      <c r="P89" s="4" t="str">
        <f t="shared" si="14"/>
        <v>E</v>
      </c>
      <c r="Q89" s="4">
        <f t="shared" si="15"/>
        <v>-4.9999999999997158E-2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-9.6900000000000119</v>
      </c>
      <c r="B90" s="4" t="str">
        <f t="shared" si="16"/>
        <v>D</v>
      </c>
      <c r="C90" s="4">
        <f t="shared" si="10"/>
        <v>64.709999999999994</v>
      </c>
      <c r="D90" s="4">
        <f t="shared" si="11"/>
        <v>74.400000000000006</v>
      </c>
      <c r="E90" s="3"/>
      <c r="F90" s="53" t="s">
        <v>65</v>
      </c>
      <c r="G90" s="54" t="s">
        <v>99</v>
      </c>
      <c r="H90" s="69">
        <v>64.709999999999994</v>
      </c>
      <c r="I90" s="54" t="s">
        <v>52</v>
      </c>
      <c r="J90" s="67">
        <v>74.400000000000006</v>
      </c>
      <c r="K90" s="54" t="s">
        <v>73</v>
      </c>
      <c r="L90" s="53" t="s">
        <v>72</v>
      </c>
      <c r="M90" s="3"/>
      <c r="N90" s="4">
        <f t="shared" si="12"/>
        <v>64.709999999999994</v>
      </c>
      <c r="O90" s="4">
        <f t="shared" si="13"/>
        <v>74.400000000000006</v>
      </c>
      <c r="P90" s="4" t="str">
        <f t="shared" si="14"/>
        <v>V</v>
      </c>
      <c r="Q90" s="4">
        <f t="shared" si="15"/>
        <v>9.6900000000000119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-0.75</v>
      </c>
      <c r="B91" s="4" t="str">
        <f t="shared" si="16"/>
        <v>E</v>
      </c>
      <c r="C91" s="4">
        <f t="shared" si="10"/>
        <v>76.790000000000006</v>
      </c>
      <c r="D91" s="4">
        <f t="shared" si="11"/>
        <v>77.540000000000006</v>
      </c>
      <c r="E91" s="3"/>
      <c r="F91" s="53" t="s">
        <v>75</v>
      </c>
      <c r="G91" s="54" t="s">
        <v>74</v>
      </c>
      <c r="H91" s="68">
        <v>76.790000000000006</v>
      </c>
      <c r="I91" s="54" t="s">
        <v>52</v>
      </c>
      <c r="J91" s="68">
        <v>77.540000000000006</v>
      </c>
      <c r="K91" s="54" t="s">
        <v>76</v>
      </c>
      <c r="L91" s="53" t="s">
        <v>77</v>
      </c>
      <c r="M91" s="3"/>
      <c r="N91" s="4">
        <f t="shared" si="12"/>
        <v>76.790000000000006</v>
      </c>
      <c r="O91" s="4">
        <f t="shared" si="13"/>
        <v>77.540000000000006</v>
      </c>
      <c r="P91" s="4" t="str">
        <f t="shared" si="14"/>
        <v>E</v>
      </c>
      <c r="Q91" s="4">
        <f t="shared" si="15"/>
        <v>0.75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-9.1000000000000014</v>
      </c>
      <c r="B92" s="4" t="str">
        <f t="shared" si="16"/>
        <v>D</v>
      </c>
      <c r="C92" s="4">
        <f t="shared" si="10"/>
        <v>51.19</v>
      </c>
      <c r="D92" s="4">
        <f t="shared" si="11"/>
        <v>60.29</v>
      </c>
      <c r="E92" s="3"/>
      <c r="F92" s="53" t="s">
        <v>83</v>
      </c>
      <c r="G92" s="54" t="s">
        <v>64</v>
      </c>
      <c r="H92" s="69">
        <v>51.19</v>
      </c>
      <c r="I92" s="54" t="s">
        <v>52</v>
      </c>
      <c r="J92" s="67">
        <v>60.29</v>
      </c>
      <c r="K92" s="54" t="s">
        <v>69</v>
      </c>
      <c r="L92" s="53" t="s">
        <v>70</v>
      </c>
      <c r="M92" s="3"/>
      <c r="N92" s="4">
        <f t="shared" si="12"/>
        <v>51.19</v>
      </c>
      <c r="O92" s="4">
        <f t="shared" si="13"/>
        <v>60.29</v>
      </c>
      <c r="P92" s="4" t="str">
        <f t="shared" si="14"/>
        <v>V</v>
      </c>
      <c r="Q92" s="4">
        <f t="shared" si="15"/>
        <v>9.1000000000000014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1.8200000000000074</v>
      </c>
      <c r="B93" s="4" t="str">
        <f t="shared" si="16"/>
        <v>E</v>
      </c>
      <c r="C93" s="4">
        <f t="shared" si="10"/>
        <v>70.540000000000006</v>
      </c>
      <c r="D93" s="4">
        <f t="shared" si="11"/>
        <v>68.72</v>
      </c>
      <c r="E93" s="3"/>
      <c r="F93" s="53" t="s">
        <v>68</v>
      </c>
      <c r="G93" s="54" t="s">
        <v>71</v>
      </c>
      <c r="H93" s="68">
        <v>70.540000000000006</v>
      </c>
      <c r="I93" s="54" t="s">
        <v>52</v>
      </c>
      <c r="J93" s="68">
        <v>68.72</v>
      </c>
      <c r="K93" s="54" t="s">
        <v>82</v>
      </c>
      <c r="L93" s="53" t="s">
        <v>61</v>
      </c>
      <c r="M93" s="3"/>
      <c r="N93" s="4">
        <f t="shared" si="12"/>
        <v>70.540000000000006</v>
      </c>
      <c r="O93" s="4">
        <f t="shared" si="13"/>
        <v>68.72</v>
      </c>
      <c r="P93" s="4" t="str">
        <f t="shared" si="14"/>
        <v>E</v>
      </c>
      <c r="Q93" s="4">
        <f t="shared" si="15"/>
        <v>-1.8200000000000074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0.64000000000000057</v>
      </c>
      <c r="B94" s="4" t="str">
        <f t="shared" si="16"/>
        <v>E</v>
      </c>
      <c r="C94" s="4">
        <f t="shared" si="10"/>
        <v>67.59</v>
      </c>
      <c r="D94" s="4">
        <f t="shared" si="11"/>
        <v>66.95</v>
      </c>
      <c r="E94" s="3"/>
      <c r="F94" s="53" t="s">
        <v>62</v>
      </c>
      <c r="G94" s="54" t="s">
        <v>84</v>
      </c>
      <c r="H94" s="68">
        <v>67.59</v>
      </c>
      <c r="I94" s="54" t="s">
        <v>52</v>
      </c>
      <c r="J94" s="68">
        <v>66.95</v>
      </c>
      <c r="K94" s="54" t="s">
        <v>80</v>
      </c>
      <c r="L94" s="53" t="s">
        <v>81</v>
      </c>
      <c r="M94" s="3"/>
      <c r="N94" s="4">
        <f t="shared" si="12"/>
        <v>67.59</v>
      </c>
      <c r="O94" s="4">
        <f t="shared" si="13"/>
        <v>66.95</v>
      </c>
      <c r="P94" s="4" t="str">
        <f t="shared" si="14"/>
        <v>E</v>
      </c>
      <c r="Q94" s="4">
        <f t="shared" si="15"/>
        <v>-0.64000000000000057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12.650000000000006</v>
      </c>
      <c r="B95" s="4" t="str">
        <f t="shared" si="16"/>
        <v>V</v>
      </c>
      <c r="C95" s="4">
        <f t="shared" si="10"/>
        <v>71.540000000000006</v>
      </c>
      <c r="D95" s="4">
        <f t="shared" si="11"/>
        <v>58.89</v>
      </c>
      <c r="E95" s="3"/>
      <c r="F95" s="53" t="s">
        <v>66</v>
      </c>
      <c r="G95" s="54" t="s">
        <v>67</v>
      </c>
      <c r="H95" s="67">
        <v>71.540000000000006</v>
      </c>
      <c r="I95" s="54" t="s">
        <v>52</v>
      </c>
      <c r="J95" s="69">
        <v>58.89</v>
      </c>
      <c r="K95" s="54" t="s">
        <v>98</v>
      </c>
      <c r="L95" s="53" t="s">
        <v>97</v>
      </c>
      <c r="M95" s="3"/>
      <c r="N95" s="4">
        <f t="shared" si="12"/>
        <v>71.540000000000006</v>
      </c>
      <c r="O95" s="4">
        <f t="shared" si="13"/>
        <v>58.89</v>
      </c>
      <c r="P95" s="4" t="str">
        <f t="shared" si="14"/>
        <v>D</v>
      </c>
      <c r="Q95" s="4">
        <f t="shared" si="15"/>
        <v>-12.650000000000006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-9.8499999999999943</v>
      </c>
      <c r="B96" s="4" t="str">
        <f t="shared" si="16"/>
        <v>D</v>
      </c>
      <c r="C96" s="4">
        <f t="shared" si="10"/>
        <v>55.39</v>
      </c>
      <c r="D96" s="4">
        <f t="shared" si="11"/>
        <v>65.239999999999995</v>
      </c>
      <c r="E96" s="3"/>
      <c r="F96" s="53" t="s">
        <v>88</v>
      </c>
      <c r="G96" s="54" t="s">
        <v>87</v>
      </c>
      <c r="H96" s="69">
        <v>55.39</v>
      </c>
      <c r="I96" s="54" t="s">
        <v>52</v>
      </c>
      <c r="J96" s="67">
        <v>65.239999999999995</v>
      </c>
      <c r="K96" s="54" t="s">
        <v>100</v>
      </c>
      <c r="L96" s="53" t="s">
        <v>60</v>
      </c>
      <c r="M96" s="3"/>
      <c r="N96" s="4">
        <f t="shared" si="12"/>
        <v>55.39</v>
      </c>
      <c r="O96" s="4">
        <f t="shared" si="13"/>
        <v>65.239999999999995</v>
      </c>
      <c r="P96" s="4" t="str">
        <f t="shared" si="14"/>
        <v>V</v>
      </c>
      <c r="Q96" s="4">
        <f t="shared" si="15"/>
        <v>9.8499999999999943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3" t="s">
        <v>10</v>
      </c>
      <c r="G97" s="52"/>
      <c r="H97" s="52"/>
      <c r="I97" s="52"/>
      <c r="J97" s="52"/>
      <c r="K97" s="52"/>
      <c r="L97" s="52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3" t="s">
        <v>2</v>
      </c>
      <c r="H98" s="1"/>
      <c r="I98" s="1"/>
      <c r="J98" s="1"/>
      <c r="K98" s="53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-26.839999999999996</v>
      </c>
      <c r="B99" s="4" t="str">
        <f t="shared" si="16"/>
        <v>D</v>
      </c>
      <c r="C99" s="4">
        <f t="shared" si="10"/>
        <v>60.13</v>
      </c>
      <c r="D99" s="4">
        <f t="shared" si="11"/>
        <v>86.97</v>
      </c>
      <c r="E99" s="3"/>
      <c r="F99" s="53" t="s">
        <v>90</v>
      </c>
      <c r="G99" s="54" t="s">
        <v>89</v>
      </c>
      <c r="H99" s="69">
        <v>60.13</v>
      </c>
      <c r="I99" s="54" t="s">
        <v>52</v>
      </c>
      <c r="J99" s="67">
        <v>86.97</v>
      </c>
      <c r="K99" s="54" t="s">
        <v>78</v>
      </c>
      <c r="L99" s="53" t="s">
        <v>79</v>
      </c>
      <c r="M99" s="3"/>
      <c r="N99" s="4">
        <f t="shared" si="12"/>
        <v>60.13</v>
      </c>
      <c r="O99" s="4">
        <f t="shared" si="13"/>
        <v>86.97</v>
      </c>
      <c r="P99" s="4" t="str">
        <f t="shared" si="14"/>
        <v>V</v>
      </c>
      <c r="Q99" s="4">
        <f t="shared" si="15"/>
        <v>26.839999999999996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-10.100000000000009</v>
      </c>
      <c r="B100" s="4" t="str">
        <f t="shared" si="16"/>
        <v>D</v>
      </c>
      <c r="C100" s="4">
        <f t="shared" si="10"/>
        <v>80.77</v>
      </c>
      <c r="D100" s="4">
        <f t="shared" si="11"/>
        <v>90.87</v>
      </c>
      <c r="E100" s="3"/>
      <c r="F100" s="53" t="s">
        <v>94</v>
      </c>
      <c r="G100" s="54" t="s">
        <v>93</v>
      </c>
      <c r="H100" s="69">
        <v>80.77</v>
      </c>
      <c r="I100" s="54" t="s">
        <v>52</v>
      </c>
      <c r="J100" s="67">
        <v>90.87</v>
      </c>
      <c r="K100" s="54" t="s">
        <v>87</v>
      </c>
      <c r="L100" s="53" t="s">
        <v>88</v>
      </c>
      <c r="M100" s="3"/>
      <c r="N100" s="4">
        <f t="shared" si="12"/>
        <v>80.77</v>
      </c>
      <c r="O100" s="4">
        <f t="shared" si="13"/>
        <v>90.87</v>
      </c>
      <c r="P100" s="4" t="str">
        <f t="shared" si="14"/>
        <v>V</v>
      </c>
      <c r="Q100" s="4">
        <f t="shared" si="15"/>
        <v>10.100000000000009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0.70000000000000284</v>
      </c>
      <c r="B101" s="4" t="str">
        <f t="shared" si="16"/>
        <v>E</v>
      </c>
      <c r="C101" s="4">
        <f t="shared" si="10"/>
        <v>85.47</v>
      </c>
      <c r="D101" s="4">
        <f t="shared" si="11"/>
        <v>84.77</v>
      </c>
      <c r="E101" s="3"/>
      <c r="F101" s="53" t="s">
        <v>92</v>
      </c>
      <c r="G101" s="54" t="s">
        <v>91</v>
      </c>
      <c r="H101" s="68">
        <v>85.47</v>
      </c>
      <c r="I101" s="54" t="s">
        <v>52</v>
      </c>
      <c r="J101" s="68">
        <v>84.77</v>
      </c>
      <c r="K101" s="54" t="s">
        <v>99</v>
      </c>
      <c r="L101" s="53" t="s">
        <v>65</v>
      </c>
      <c r="M101" s="3"/>
      <c r="N101" s="4">
        <f t="shared" si="12"/>
        <v>85.47</v>
      </c>
      <c r="O101" s="4">
        <f t="shared" si="13"/>
        <v>84.77</v>
      </c>
      <c r="P101" s="4" t="str">
        <f t="shared" si="14"/>
        <v>E</v>
      </c>
      <c r="Q101" s="4">
        <f t="shared" si="15"/>
        <v>-0.70000000000000284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-1.7000000000000028</v>
      </c>
      <c r="B102" s="4" t="str">
        <f t="shared" si="16"/>
        <v>E</v>
      </c>
      <c r="C102" s="4">
        <f t="shared" si="10"/>
        <v>86.47</v>
      </c>
      <c r="D102" s="4">
        <f t="shared" si="11"/>
        <v>88.17</v>
      </c>
      <c r="E102" s="3"/>
      <c r="F102" s="53" t="s">
        <v>97</v>
      </c>
      <c r="G102" s="54" t="s">
        <v>98</v>
      </c>
      <c r="H102" s="68">
        <v>86.47</v>
      </c>
      <c r="I102" s="54" t="s">
        <v>52</v>
      </c>
      <c r="J102" s="68">
        <v>88.17</v>
      </c>
      <c r="K102" s="54" t="s">
        <v>80</v>
      </c>
      <c r="L102" s="53" t="s">
        <v>81</v>
      </c>
      <c r="M102" s="3"/>
      <c r="N102" s="4">
        <f t="shared" si="12"/>
        <v>86.47</v>
      </c>
      <c r="O102" s="4">
        <f t="shared" si="13"/>
        <v>88.17</v>
      </c>
      <c r="P102" s="4" t="str">
        <f t="shared" si="14"/>
        <v>E</v>
      </c>
      <c r="Q102" s="4">
        <f t="shared" si="15"/>
        <v>1.7000000000000028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13.13000000000001</v>
      </c>
      <c r="B103" s="4" t="str">
        <f t="shared" si="16"/>
        <v>V</v>
      </c>
      <c r="C103" s="4">
        <f t="shared" si="10"/>
        <v>89.7</v>
      </c>
      <c r="D103" s="4">
        <f t="shared" si="11"/>
        <v>76.569999999999993</v>
      </c>
      <c r="E103" s="3"/>
      <c r="F103" s="53" t="s">
        <v>75</v>
      </c>
      <c r="G103" s="54" t="s">
        <v>74</v>
      </c>
      <c r="H103" s="67">
        <v>89.7</v>
      </c>
      <c r="I103" s="54" t="s">
        <v>52</v>
      </c>
      <c r="J103" s="69">
        <v>76.569999999999993</v>
      </c>
      <c r="K103" s="54" t="s">
        <v>73</v>
      </c>
      <c r="L103" s="53" t="s">
        <v>72</v>
      </c>
      <c r="M103" s="3"/>
      <c r="N103" s="4">
        <f t="shared" si="12"/>
        <v>89.7</v>
      </c>
      <c r="O103" s="4">
        <f t="shared" si="13"/>
        <v>76.569999999999993</v>
      </c>
      <c r="P103" s="4" t="str">
        <f t="shared" si="14"/>
        <v>D</v>
      </c>
      <c r="Q103" s="4">
        <f t="shared" si="15"/>
        <v>-13.13000000000001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-20.350000000000009</v>
      </c>
      <c r="B104" s="4" t="str">
        <f t="shared" si="16"/>
        <v>D</v>
      </c>
      <c r="C104" s="4">
        <f t="shared" si="10"/>
        <v>70.819999999999993</v>
      </c>
      <c r="D104" s="4">
        <f t="shared" si="11"/>
        <v>91.17</v>
      </c>
      <c r="E104" s="3"/>
      <c r="F104" s="53" t="s">
        <v>83</v>
      </c>
      <c r="G104" s="54" t="s">
        <v>64</v>
      </c>
      <c r="H104" s="69">
        <v>70.819999999999993</v>
      </c>
      <c r="I104" s="54" t="s">
        <v>52</v>
      </c>
      <c r="J104" s="67">
        <v>91.17</v>
      </c>
      <c r="K104" s="54" t="s">
        <v>67</v>
      </c>
      <c r="L104" s="53" t="s">
        <v>66</v>
      </c>
      <c r="M104" s="3"/>
      <c r="N104" s="4">
        <f t="shared" si="12"/>
        <v>70.819999999999993</v>
      </c>
      <c r="O104" s="4">
        <f t="shared" si="13"/>
        <v>91.17</v>
      </c>
      <c r="P104" s="4" t="str">
        <f t="shared" si="14"/>
        <v>V</v>
      </c>
      <c r="Q104" s="4">
        <f t="shared" si="15"/>
        <v>20.350000000000009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-14.5</v>
      </c>
      <c r="B105" s="4" t="str">
        <f t="shared" si="16"/>
        <v>D</v>
      </c>
      <c r="C105" s="4">
        <f t="shared" si="10"/>
        <v>92.47</v>
      </c>
      <c r="D105" s="4">
        <f t="shared" si="11"/>
        <v>106.97</v>
      </c>
      <c r="E105" s="3"/>
      <c r="F105" s="53" t="s">
        <v>70</v>
      </c>
      <c r="G105" s="54" t="s">
        <v>69</v>
      </c>
      <c r="H105" s="69">
        <v>92.47</v>
      </c>
      <c r="I105" s="54" t="s">
        <v>52</v>
      </c>
      <c r="J105" s="67">
        <v>106.97</v>
      </c>
      <c r="K105" s="54" t="s">
        <v>100</v>
      </c>
      <c r="L105" s="53" t="s">
        <v>60</v>
      </c>
      <c r="M105" s="3"/>
      <c r="N105" s="4">
        <f t="shared" si="12"/>
        <v>92.47</v>
      </c>
      <c r="O105" s="4">
        <f t="shared" si="13"/>
        <v>106.97</v>
      </c>
      <c r="P105" s="4" t="str">
        <f t="shared" si="14"/>
        <v>V</v>
      </c>
      <c r="Q105" s="4">
        <f t="shared" si="15"/>
        <v>14.5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4.25</v>
      </c>
      <c r="B106" s="4" t="str">
        <f t="shared" si="16"/>
        <v>E</v>
      </c>
      <c r="C106" s="4">
        <f t="shared" si="10"/>
        <v>89.07</v>
      </c>
      <c r="D106" s="4">
        <f t="shared" si="11"/>
        <v>84.82</v>
      </c>
      <c r="E106" s="3"/>
      <c r="F106" s="53" t="s">
        <v>63</v>
      </c>
      <c r="G106" s="54" t="s">
        <v>86</v>
      </c>
      <c r="H106" s="68">
        <v>89.07</v>
      </c>
      <c r="I106" s="54" t="s">
        <v>52</v>
      </c>
      <c r="J106" s="68">
        <v>84.82</v>
      </c>
      <c r="K106" s="54" t="s">
        <v>76</v>
      </c>
      <c r="L106" s="53" t="s">
        <v>77</v>
      </c>
      <c r="M106" s="3"/>
      <c r="N106" s="4">
        <f t="shared" si="12"/>
        <v>89.07</v>
      </c>
      <c r="O106" s="4">
        <f t="shared" si="13"/>
        <v>84.82</v>
      </c>
      <c r="P106" s="4" t="str">
        <f t="shared" si="14"/>
        <v>E</v>
      </c>
      <c r="Q106" s="4">
        <f t="shared" si="15"/>
        <v>-4.25</v>
      </c>
    </row>
    <row r="107" spans="1:34" ht="17.25" customHeight="1" x14ac:dyDescent="0.25">
      <c r="A107" s="4">
        <f t="shared" si="9"/>
        <v>18</v>
      </c>
      <c r="B107" s="4" t="str">
        <f t="shared" si="16"/>
        <v>V</v>
      </c>
      <c r="C107" s="4">
        <f t="shared" si="10"/>
        <v>92.47</v>
      </c>
      <c r="D107" s="4">
        <f t="shared" si="11"/>
        <v>74.47</v>
      </c>
      <c r="E107" s="3"/>
      <c r="F107" s="53" t="s">
        <v>96</v>
      </c>
      <c r="G107" s="54" t="s">
        <v>95</v>
      </c>
      <c r="H107" s="67">
        <v>92.47</v>
      </c>
      <c r="I107" s="54" t="s">
        <v>52</v>
      </c>
      <c r="J107" s="69">
        <v>74.47</v>
      </c>
      <c r="K107" s="54" t="s">
        <v>71</v>
      </c>
      <c r="L107" s="53" t="s">
        <v>68</v>
      </c>
      <c r="M107" s="3"/>
      <c r="N107" s="4">
        <f t="shared" si="12"/>
        <v>92.47</v>
      </c>
      <c r="O107" s="4">
        <f t="shared" si="13"/>
        <v>74.47</v>
      </c>
      <c r="P107" s="4" t="str">
        <f t="shared" si="14"/>
        <v>D</v>
      </c>
      <c r="Q107" s="4">
        <f t="shared" si="15"/>
        <v>-18</v>
      </c>
    </row>
    <row r="108" spans="1:34" ht="17.25" customHeight="1" x14ac:dyDescent="0.25">
      <c r="A108" s="4">
        <f t="shared" si="9"/>
        <v>13.75</v>
      </c>
      <c r="B108" s="4" t="str">
        <f t="shared" si="16"/>
        <v>V</v>
      </c>
      <c r="C108" s="4">
        <f t="shared" si="10"/>
        <v>93.37</v>
      </c>
      <c r="D108" s="4">
        <f t="shared" si="11"/>
        <v>79.62</v>
      </c>
      <c r="E108" s="3"/>
      <c r="F108" s="53" t="s">
        <v>61</v>
      </c>
      <c r="G108" s="54" t="s">
        <v>82</v>
      </c>
      <c r="H108" s="67">
        <v>93.37</v>
      </c>
      <c r="I108" s="54" t="s">
        <v>52</v>
      </c>
      <c r="J108" s="69">
        <v>79.62</v>
      </c>
      <c r="K108" s="54" t="s">
        <v>84</v>
      </c>
      <c r="L108" s="53" t="s">
        <v>62</v>
      </c>
      <c r="M108" s="3"/>
      <c r="N108" s="4">
        <f t="shared" si="12"/>
        <v>93.37</v>
      </c>
      <c r="O108" s="4">
        <f t="shared" si="13"/>
        <v>79.62</v>
      </c>
      <c r="P108" s="4" t="str">
        <f t="shared" si="14"/>
        <v>D</v>
      </c>
      <c r="Q108" s="4">
        <f t="shared" si="15"/>
        <v>-13.75</v>
      </c>
    </row>
    <row r="109" spans="1:34" ht="17.25" customHeight="1" x14ac:dyDescent="0.25">
      <c r="E109" s="3"/>
      <c r="F109" s="53" t="s">
        <v>11</v>
      </c>
      <c r="G109" s="52"/>
      <c r="H109" s="52"/>
      <c r="I109" s="52"/>
      <c r="J109" s="52"/>
      <c r="K109" s="52"/>
      <c r="L109" s="52"/>
      <c r="M109" s="3"/>
    </row>
    <row r="110" spans="1:34" ht="17.25" customHeight="1" x14ac:dyDescent="0.25">
      <c r="E110" s="3"/>
      <c r="F110" s="1" t="s">
        <v>1</v>
      </c>
      <c r="G110" s="53" t="s">
        <v>2</v>
      </c>
      <c r="H110" s="1"/>
      <c r="I110" s="1"/>
      <c r="J110" s="1"/>
      <c r="K110" s="53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-13.700000000000003</v>
      </c>
      <c r="B111" s="4" t="str">
        <f t="shared" si="16"/>
        <v>D</v>
      </c>
      <c r="C111" s="4">
        <f t="shared" si="10"/>
        <v>90.92</v>
      </c>
      <c r="D111" s="4">
        <f t="shared" si="11"/>
        <v>104.62</v>
      </c>
      <c r="E111" s="3"/>
      <c r="F111" s="53" t="s">
        <v>90</v>
      </c>
      <c r="G111" s="54" t="s">
        <v>89</v>
      </c>
      <c r="H111" s="69">
        <v>90.92</v>
      </c>
      <c r="I111" s="54" t="s">
        <v>52</v>
      </c>
      <c r="J111" s="67">
        <v>104.62</v>
      </c>
      <c r="K111" s="54" t="s">
        <v>74</v>
      </c>
      <c r="L111" s="53" t="s">
        <v>75</v>
      </c>
      <c r="M111" s="3"/>
      <c r="N111" s="4">
        <f t="shared" si="12"/>
        <v>90.92</v>
      </c>
      <c r="O111" s="4">
        <f t="shared" si="13"/>
        <v>104.62</v>
      </c>
      <c r="P111" s="4" t="str">
        <f t="shared" si="14"/>
        <v>V</v>
      </c>
      <c r="Q111" s="4">
        <f t="shared" si="15"/>
        <v>13.700000000000003</v>
      </c>
    </row>
    <row r="112" spans="1:34" ht="17.25" customHeight="1" x14ac:dyDescent="0.25">
      <c r="A112" s="4">
        <f t="shared" si="9"/>
        <v>36.819999999999993</v>
      </c>
      <c r="B112" s="4" t="str">
        <f t="shared" si="16"/>
        <v>V</v>
      </c>
      <c r="C112" s="4">
        <f t="shared" si="10"/>
        <v>122.66</v>
      </c>
      <c r="D112" s="4">
        <f t="shared" si="11"/>
        <v>85.84</v>
      </c>
      <c r="E112" s="3"/>
      <c r="F112" s="53" t="s">
        <v>77</v>
      </c>
      <c r="G112" s="54" t="s">
        <v>76</v>
      </c>
      <c r="H112" s="67">
        <v>122.66</v>
      </c>
      <c r="I112" s="54" t="s">
        <v>52</v>
      </c>
      <c r="J112" s="69">
        <v>85.84</v>
      </c>
      <c r="K112" s="54" t="s">
        <v>93</v>
      </c>
      <c r="L112" s="53" t="s">
        <v>94</v>
      </c>
      <c r="M112" s="3"/>
      <c r="N112" s="4">
        <f t="shared" si="12"/>
        <v>122.66</v>
      </c>
      <c r="O112" s="4">
        <f t="shared" si="13"/>
        <v>85.84</v>
      </c>
      <c r="P112" s="4" t="str">
        <f t="shared" si="14"/>
        <v>D</v>
      </c>
      <c r="Q112" s="4">
        <f t="shared" si="15"/>
        <v>-36.819999999999993</v>
      </c>
    </row>
    <row r="113" spans="1:17" ht="17.25" customHeight="1" x14ac:dyDescent="0.25">
      <c r="A113" s="4">
        <f t="shared" si="9"/>
        <v>-7.730000000000004</v>
      </c>
      <c r="B113" s="4" t="str">
        <f t="shared" si="16"/>
        <v>D</v>
      </c>
      <c r="C113" s="4">
        <f t="shared" si="10"/>
        <v>102.46</v>
      </c>
      <c r="D113" s="4">
        <f t="shared" si="11"/>
        <v>110.19</v>
      </c>
      <c r="E113" s="3"/>
      <c r="F113" s="53" t="s">
        <v>72</v>
      </c>
      <c r="G113" s="54" t="s">
        <v>73</v>
      </c>
      <c r="H113" s="69">
        <v>102.46</v>
      </c>
      <c r="I113" s="54" t="s">
        <v>52</v>
      </c>
      <c r="J113" s="67">
        <v>110.19</v>
      </c>
      <c r="K113" s="54" t="s">
        <v>71</v>
      </c>
      <c r="L113" s="53" t="s">
        <v>68</v>
      </c>
      <c r="M113" s="3"/>
      <c r="N113" s="4">
        <f t="shared" si="12"/>
        <v>102.46</v>
      </c>
      <c r="O113" s="4">
        <f t="shared" si="13"/>
        <v>110.19</v>
      </c>
      <c r="P113" s="4" t="str">
        <f t="shared" si="14"/>
        <v>V</v>
      </c>
      <c r="Q113" s="4">
        <f t="shared" si="15"/>
        <v>7.730000000000004</v>
      </c>
    </row>
    <row r="114" spans="1:17" ht="17.25" customHeight="1" x14ac:dyDescent="0.25">
      <c r="A114" s="4">
        <f t="shared" si="9"/>
        <v>12.799999999999997</v>
      </c>
      <c r="B114" s="4" t="str">
        <f t="shared" si="16"/>
        <v>V</v>
      </c>
      <c r="C114" s="4">
        <f t="shared" si="10"/>
        <v>114.96</v>
      </c>
      <c r="D114" s="4">
        <f t="shared" si="11"/>
        <v>102.16</v>
      </c>
      <c r="E114" s="3"/>
      <c r="F114" s="53" t="s">
        <v>97</v>
      </c>
      <c r="G114" s="54" t="s">
        <v>98</v>
      </c>
      <c r="H114" s="67">
        <v>114.96</v>
      </c>
      <c r="I114" s="54" t="s">
        <v>52</v>
      </c>
      <c r="J114" s="69">
        <v>102.16</v>
      </c>
      <c r="K114" s="54" t="s">
        <v>91</v>
      </c>
      <c r="L114" s="53" t="s">
        <v>92</v>
      </c>
      <c r="M114" s="3"/>
      <c r="N114" s="4">
        <f t="shared" si="12"/>
        <v>114.96</v>
      </c>
      <c r="O114" s="4">
        <f t="shared" si="13"/>
        <v>102.16</v>
      </c>
      <c r="P114" s="4" t="str">
        <f t="shared" si="14"/>
        <v>D</v>
      </c>
      <c r="Q114" s="4">
        <f t="shared" si="15"/>
        <v>-12.799999999999997</v>
      </c>
    </row>
    <row r="115" spans="1:17" ht="17.25" customHeight="1" x14ac:dyDescent="0.25">
      <c r="A115" s="4">
        <f t="shared" si="9"/>
        <v>9.2999999999999972</v>
      </c>
      <c r="B115" s="4" t="str">
        <f t="shared" si="16"/>
        <v>V</v>
      </c>
      <c r="C115" s="4">
        <f t="shared" si="10"/>
        <v>101.44</v>
      </c>
      <c r="D115" s="4">
        <f t="shared" si="11"/>
        <v>92.14</v>
      </c>
      <c r="E115" s="3"/>
      <c r="F115" s="53" t="s">
        <v>81</v>
      </c>
      <c r="G115" s="54" t="s">
        <v>80</v>
      </c>
      <c r="H115" s="67">
        <v>101.44</v>
      </c>
      <c r="I115" s="54" t="s">
        <v>52</v>
      </c>
      <c r="J115" s="69">
        <v>92.14</v>
      </c>
      <c r="K115" s="54" t="s">
        <v>99</v>
      </c>
      <c r="L115" s="53" t="s">
        <v>65</v>
      </c>
      <c r="M115" s="3"/>
      <c r="N115" s="4">
        <f t="shared" si="12"/>
        <v>101.44</v>
      </c>
      <c r="O115" s="4">
        <f t="shared" si="13"/>
        <v>92.14</v>
      </c>
      <c r="P115" s="4" t="str">
        <f t="shared" si="14"/>
        <v>D</v>
      </c>
      <c r="Q115" s="4">
        <f t="shared" si="15"/>
        <v>-9.2999999999999972</v>
      </c>
    </row>
    <row r="116" spans="1:17" ht="17.25" customHeight="1" x14ac:dyDescent="0.25">
      <c r="A116" s="4">
        <f t="shared" si="9"/>
        <v>-24.299999999999997</v>
      </c>
      <c r="B116" s="4" t="str">
        <f t="shared" si="16"/>
        <v>D</v>
      </c>
      <c r="C116" s="4">
        <f t="shared" si="10"/>
        <v>97.66</v>
      </c>
      <c r="D116" s="4">
        <f t="shared" si="11"/>
        <v>121.96</v>
      </c>
      <c r="E116" s="3"/>
      <c r="F116" s="53" t="s">
        <v>60</v>
      </c>
      <c r="G116" s="54" t="s">
        <v>100</v>
      </c>
      <c r="H116" s="69">
        <v>97.66</v>
      </c>
      <c r="I116" s="54" t="s">
        <v>52</v>
      </c>
      <c r="J116" s="67">
        <v>121.96</v>
      </c>
      <c r="K116" s="54" t="s">
        <v>95</v>
      </c>
      <c r="L116" s="53" t="s">
        <v>96</v>
      </c>
      <c r="M116" s="3"/>
      <c r="N116" s="4">
        <f t="shared" si="12"/>
        <v>97.66</v>
      </c>
      <c r="O116" s="4">
        <f t="shared" si="13"/>
        <v>121.96</v>
      </c>
      <c r="P116" s="4" t="str">
        <f>_xlfn.IFS(Q116&gt;=5,"V",Q116&lt;=-5,"D",Q116&lt;=-4.99,"E",Q116&lt;=4.99,"E")</f>
        <v>V</v>
      </c>
      <c r="Q116" s="4">
        <f t="shared" si="15"/>
        <v>24.299999999999997</v>
      </c>
    </row>
    <row r="117" spans="1:17" ht="17.25" customHeight="1" x14ac:dyDescent="0.25">
      <c r="A117" s="4">
        <f t="shared" si="9"/>
        <v>15.079999999999998</v>
      </c>
      <c r="B117" s="4" t="str">
        <f t="shared" si="16"/>
        <v>V</v>
      </c>
      <c r="C117" s="4">
        <f t="shared" si="10"/>
        <v>108.64</v>
      </c>
      <c r="D117" s="4">
        <f t="shared" si="11"/>
        <v>93.56</v>
      </c>
      <c r="E117" s="3"/>
      <c r="F117" s="53" t="s">
        <v>70</v>
      </c>
      <c r="G117" s="54" t="s">
        <v>69</v>
      </c>
      <c r="H117" s="67">
        <v>108.64</v>
      </c>
      <c r="I117" s="54" t="s">
        <v>52</v>
      </c>
      <c r="J117" s="69">
        <v>93.56</v>
      </c>
      <c r="K117" s="54" t="s">
        <v>87</v>
      </c>
      <c r="L117" s="53" t="s">
        <v>88</v>
      </c>
      <c r="M117" s="3"/>
      <c r="N117" s="4">
        <f t="shared" si="12"/>
        <v>108.64</v>
      </c>
      <c r="O117" s="4">
        <f t="shared" si="13"/>
        <v>93.56</v>
      </c>
      <c r="P117" s="4" t="str">
        <f t="shared" si="14"/>
        <v>D</v>
      </c>
      <c r="Q117" s="4">
        <f t="shared" si="15"/>
        <v>-15.079999999999998</v>
      </c>
    </row>
    <row r="118" spans="1:17" ht="17.25" customHeight="1" x14ac:dyDescent="0.25">
      <c r="A118" s="4">
        <f t="shared" si="9"/>
        <v>25.560000000000016</v>
      </c>
      <c r="B118" s="4" t="str">
        <f t="shared" si="16"/>
        <v>V</v>
      </c>
      <c r="C118" s="4">
        <f t="shared" si="10"/>
        <v>133.52000000000001</v>
      </c>
      <c r="D118" s="4">
        <f t="shared" si="11"/>
        <v>107.96</v>
      </c>
      <c r="E118" s="3"/>
      <c r="F118" s="53" t="s">
        <v>63</v>
      </c>
      <c r="G118" s="54" t="s">
        <v>86</v>
      </c>
      <c r="H118" s="67">
        <v>133.52000000000001</v>
      </c>
      <c r="I118" s="54" t="s">
        <v>52</v>
      </c>
      <c r="J118" s="69">
        <v>107.96</v>
      </c>
      <c r="K118" s="54" t="s">
        <v>84</v>
      </c>
      <c r="L118" s="53" t="s">
        <v>62</v>
      </c>
      <c r="M118" s="3"/>
      <c r="N118" s="4">
        <f t="shared" si="12"/>
        <v>133.52000000000001</v>
      </c>
      <c r="O118" s="4">
        <f t="shared" si="13"/>
        <v>107.96</v>
      </c>
      <c r="P118" s="4" t="str">
        <f t="shared" si="14"/>
        <v>D</v>
      </c>
      <c r="Q118" s="4">
        <f t="shared" si="15"/>
        <v>-25.560000000000016</v>
      </c>
    </row>
    <row r="119" spans="1:17" ht="17.25" customHeight="1" x14ac:dyDescent="0.25">
      <c r="A119" s="4">
        <f t="shared" si="9"/>
        <v>45.269999999999996</v>
      </c>
      <c r="B119" s="4" t="str">
        <f t="shared" si="16"/>
        <v>V</v>
      </c>
      <c r="C119" s="4">
        <f t="shared" si="10"/>
        <v>133.63</v>
      </c>
      <c r="D119" s="4">
        <f t="shared" si="11"/>
        <v>88.36</v>
      </c>
      <c r="E119" s="3"/>
      <c r="F119" s="53" t="s">
        <v>66</v>
      </c>
      <c r="G119" s="54" t="s">
        <v>67</v>
      </c>
      <c r="H119" s="67">
        <v>133.63</v>
      </c>
      <c r="I119" s="54" t="s">
        <v>52</v>
      </c>
      <c r="J119" s="69">
        <v>88.36</v>
      </c>
      <c r="K119" s="54" t="s">
        <v>78</v>
      </c>
      <c r="L119" s="53" t="s">
        <v>79</v>
      </c>
      <c r="M119" s="3"/>
      <c r="N119" s="4">
        <f t="shared" si="12"/>
        <v>133.63</v>
      </c>
      <c r="O119" s="4">
        <f t="shared" si="13"/>
        <v>88.36</v>
      </c>
      <c r="P119" s="4" t="str">
        <f t="shared" si="14"/>
        <v>D</v>
      </c>
      <c r="Q119" s="4">
        <f t="shared" si="15"/>
        <v>-45.269999999999996</v>
      </c>
    </row>
    <row r="120" spans="1:17" ht="17.25" customHeight="1" x14ac:dyDescent="0.25">
      <c r="A120" s="4">
        <f t="shared" si="9"/>
        <v>-14.040000000000006</v>
      </c>
      <c r="B120" s="4" t="str">
        <f t="shared" si="16"/>
        <v>D</v>
      </c>
      <c r="C120" s="4">
        <f t="shared" si="10"/>
        <v>97.22</v>
      </c>
      <c r="D120" s="4">
        <f t="shared" si="11"/>
        <v>111.26</v>
      </c>
      <c r="E120" s="3"/>
      <c r="F120" s="53" t="s">
        <v>61</v>
      </c>
      <c r="G120" s="54" t="s">
        <v>82</v>
      </c>
      <c r="H120" s="69">
        <v>97.22</v>
      </c>
      <c r="I120" s="54" t="s">
        <v>52</v>
      </c>
      <c r="J120" s="67">
        <v>111.26</v>
      </c>
      <c r="K120" s="54" t="s">
        <v>64</v>
      </c>
      <c r="L120" s="53" t="s">
        <v>83</v>
      </c>
      <c r="M120" s="3"/>
      <c r="N120" s="4">
        <f t="shared" si="12"/>
        <v>97.22</v>
      </c>
      <c r="O120" s="4">
        <f t="shared" si="13"/>
        <v>111.26</v>
      </c>
      <c r="P120" s="4" t="str">
        <f t="shared" si="14"/>
        <v>V</v>
      </c>
      <c r="Q120" s="4">
        <f t="shared" si="15"/>
        <v>14.040000000000006</v>
      </c>
    </row>
    <row r="121" spans="1:17" ht="17.25" customHeight="1" x14ac:dyDescent="0.25">
      <c r="E121" s="3"/>
      <c r="F121" s="53" t="s">
        <v>12</v>
      </c>
      <c r="G121" s="52"/>
      <c r="H121" s="52"/>
      <c r="I121" s="52"/>
      <c r="J121" s="52"/>
      <c r="K121" s="52"/>
      <c r="L121" s="52"/>
      <c r="M121" s="3"/>
    </row>
    <row r="122" spans="1:17" ht="17.25" customHeight="1" x14ac:dyDescent="0.25">
      <c r="E122" s="3"/>
      <c r="F122" s="1" t="s">
        <v>1</v>
      </c>
      <c r="G122" s="53" t="s">
        <v>2</v>
      </c>
      <c r="H122" s="1"/>
      <c r="I122" s="1"/>
      <c r="J122" s="1"/>
      <c r="K122" s="53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0</v>
      </c>
      <c r="B123" s="4" t="str">
        <f t="shared" si="16"/>
        <v>E</v>
      </c>
      <c r="C123" s="4">
        <f t="shared" si="10"/>
        <v>0</v>
      </c>
      <c r="D123" s="4">
        <f t="shared" si="11"/>
        <v>0</v>
      </c>
      <c r="E123" s="3"/>
      <c r="F123" s="53" t="s">
        <v>79</v>
      </c>
      <c r="G123" s="54" t="s">
        <v>78</v>
      </c>
      <c r="H123" s="1"/>
      <c r="I123" s="1" t="s">
        <v>52</v>
      </c>
      <c r="J123" s="1"/>
      <c r="K123" s="54" t="s">
        <v>82</v>
      </c>
      <c r="L123" s="53" t="s">
        <v>61</v>
      </c>
      <c r="M123" s="3"/>
      <c r="N123" s="4">
        <f t="shared" si="12"/>
        <v>0</v>
      </c>
      <c r="O123" s="4">
        <f t="shared" si="13"/>
        <v>0</v>
      </c>
      <c r="P123" s="4" t="str">
        <f t="shared" si="14"/>
        <v>E</v>
      </c>
      <c r="Q123" s="4">
        <f t="shared" si="15"/>
        <v>0</v>
      </c>
    </row>
    <row r="124" spans="1:17" ht="17.25" customHeight="1" x14ac:dyDescent="0.25">
      <c r="A124" s="4">
        <f t="shared" si="9"/>
        <v>0</v>
      </c>
      <c r="B124" s="4" t="str">
        <f t="shared" si="16"/>
        <v>E</v>
      </c>
      <c r="C124" s="4">
        <f t="shared" si="10"/>
        <v>0</v>
      </c>
      <c r="D124" s="4">
        <f t="shared" si="11"/>
        <v>0</v>
      </c>
      <c r="E124" s="3"/>
      <c r="F124" s="53" t="s">
        <v>77</v>
      </c>
      <c r="G124" s="54" t="s">
        <v>76</v>
      </c>
      <c r="H124" s="1"/>
      <c r="I124" s="1" t="s">
        <v>52</v>
      </c>
      <c r="J124" s="1"/>
      <c r="K124" s="54" t="s">
        <v>98</v>
      </c>
      <c r="L124" s="53" t="s">
        <v>97</v>
      </c>
      <c r="M124" s="3"/>
      <c r="N124" s="4">
        <f t="shared" si="12"/>
        <v>0</v>
      </c>
      <c r="O124" s="4">
        <f t="shared" si="13"/>
        <v>0</v>
      </c>
      <c r="P124" s="4" t="str">
        <f t="shared" si="14"/>
        <v>E</v>
      </c>
      <c r="Q124" s="4">
        <f t="shared" si="15"/>
        <v>0</v>
      </c>
    </row>
    <row r="125" spans="1:17" ht="17.25" customHeight="1" x14ac:dyDescent="0.25">
      <c r="A125" s="4">
        <f t="shared" si="9"/>
        <v>0</v>
      </c>
      <c r="B125" s="4" t="str">
        <f t="shared" si="16"/>
        <v>E</v>
      </c>
      <c r="C125" s="4">
        <f t="shared" si="10"/>
        <v>0</v>
      </c>
      <c r="D125" s="4">
        <f t="shared" si="11"/>
        <v>0</v>
      </c>
      <c r="E125" s="3"/>
      <c r="F125" s="53" t="s">
        <v>92</v>
      </c>
      <c r="G125" s="54" t="s">
        <v>91</v>
      </c>
      <c r="H125" s="1"/>
      <c r="I125" s="1" t="s">
        <v>52</v>
      </c>
      <c r="J125" s="1"/>
      <c r="K125" s="54" t="s">
        <v>86</v>
      </c>
      <c r="L125" s="53" t="s">
        <v>63</v>
      </c>
      <c r="M125" s="3"/>
      <c r="N125" s="4">
        <f t="shared" si="12"/>
        <v>0</v>
      </c>
      <c r="O125" s="4">
        <f t="shared" si="13"/>
        <v>0</v>
      </c>
      <c r="P125" s="4" t="str">
        <f t="shared" si="14"/>
        <v>E</v>
      </c>
      <c r="Q125" s="4">
        <f t="shared" si="15"/>
        <v>0</v>
      </c>
    </row>
    <row r="126" spans="1:17" ht="17.25" customHeight="1" x14ac:dyDescent="0.25">
      <c r="A126" s="4">
        <f t="shared" si="9"/>
        <v>0</v>
      </c>
      <c r="B126" s="4" t="str">
        <f t="shared" si="16"/>
        <v>E</v>
      </c>
      <c r="C126" s="4">
        <f t="shared" si="10"/>
        <v>0</v>
      </c>
      <c r="D126" s="4">
        <f t="shared" si="11"/>
        <v>0</v>
      </c>
      <c r="E126" s="3"/>
      <c r="F126" s="53" t="s">
        <v>65</v>
      </c>
      <c r="G126" s="54" t="s">
        <v>99</v>
      </c>
      <c r="H126" s="1"/>
      <c r="I126" s="1" t="s">
        <v>52</v>
      </c>
      <c r="J126" s="1"/>
      <c r="K126" s="54" t="s">
        <v>67</v>
      </c>
      <c r="L126" s="53" t="s">
        <v>66</v>
      </c>
      <c r="M126" s="3"/>
      <c r="N126" s="4">
        <f t="shared" si="12"/>
        <v>0</v>
      </c>
      <c r="O126" s="4">
        <f t="shared" si="13"/>
        <v>0</v>
      </c>
      <c r="P126" s="4" t="str">
        <f t="shared" si="14"/>
        <v>E</v>
      </c>
      <c r="Q126" s="4">
        <f t="shared" si="15"/>
        <v>0</v>
      </c>
    </row>
    <row r="127" spans="1:17" ht="17.25" customHeight="1" x14ac:dyDescent="0.25">
      <c r="A127" s="4">
        <f t="shared" si="9"/>
        <v>0</v>
      </c>
      <c r="B127" s="4" t="str">
        <f t="shared" si="16"/>
        <v>E</v>
      </c>
      <c r="C127" s="4">
        <f t="shared" si="10"/>
        <v>0</v>
      </c>
      <c r="D127" s="4">
        <f t="shared" si="11"/>
        <v>0</v>
      </c>
      <c r="E127" s="3"/>
      <c r="F127" s="53" t="s">
        <v>75</v>
      </c>
      <c r="G127" s="54" t="s">
        <v>74</v>
      </c>
      <c r="H127" s="1"/>
      <c r="I127" s="1" t="s">
        <v>52</v>
      </c>
      <c r="J127" s="1"/>
      <c r="K127" s="54" t="s">
        <v>69</v>
      </c>
      <c r="L127" s="53" t="s">
        <v>70</v>
      </c>
      <c r="M127" s="3"/>
      <c r="N127" s="4">
        <f t="shared" si="12"/>
        <v>0</v>
      </c>
      <c r="O127" s="4">
        <f t="shared" si="13"/>
        <v>0</v>
      </c>
      <c r="P127" s="4" t="str">
        <f t="shared" si="14"/>
        <v>E</v>
      </c>
      <c r="Q127" s="4">
        <f t="shared" si="15"/>
        <v>0</v>
      </c>
    </row>
    <row r="128" spans="1:17" ht="17.25" customHeight="1" x14ac:dyDescent="0.25">
      <c r="A128" s="4">
        <f t="shared" si="9"/>
        <v>0</v>
      </c>
      <c r="B128" s="4" t="str">
        <f t="shared" si="16"/>
        <v>E</v>
      </c>
      <c r="C128" s="4">
        <f t="shared" si="10"/>
        <v>0</v>
      </c>
      <c r="D128" s="4">
        <f t="shared" si="11"/>
        <v>0</v>
      </c>
      <c r="E128" s="3"/>
      <c r="F128" s="53" t="s">
        <v>60</v>
      </c>
      <c r="G128" s="54" t="s">
        <v>100</v>
      </c>
      <c r="H128" s="1"/>
      <c r="I128" s="1" t="s">
        <v>52</v>
      </c>
      <c r="J128" s="1"/>
      <c r="K128" s="54" t="s">
        <v>73</v>
      </c>
      <c r="L128" s="53" t="s">
        <v>72</v>
      </c>
      <c r="M128" s="3"/>
      <c r="N128" s="4">
        <f t="shared" si="12"/>
        <v>0</v>
      </c>
      <c r="O128" s="4">
        <f t="shared" si="13"/>
        <v>0</v>
      </c>
      <c r="P128" s="4" t="str">
        <f t="shared" si="14"/>
        <v>E</v>
      </c>
      <c r="Q128" s="4">
        <f t="shared" si="15"/>
        <v>0</v>
      </c>
    </row>
    <row r="129" spans="1:17" ht="17.25" customHeight="1" x14ac:dyDescent="0.25">
      <c r="A129" s="4">
        <f t="shared" si="9"/>
        <v>0</v>
      </c>
      <c r="B129" s="4" t="str">
        <f>_xlfn.IFS(A129&gt;=5,"V",A129&lt;=-5,"D",A129&lt;=-4.99,"E",A129&lt;=4.99,"E")</f>
        <v>E</v>
      </c>
      <c r="C129" s="4">
        <f t="shared" si="10"/>
        <v>0</v>
      </c>
      <c r="D129" s="4">
        <f t="shared" si="11"/>
        <v>0</v>
      </c>
      <c r="E129" s="3"/>
      <c r="F129" s="53" t="s">
        <v>68</v>
      </c>
      <c r="G129" s="54" t="s">
        <v>71</v>
      </c>
      <c r="H129" s="1"/>
      <c r="I129" s="1" t="s">
        <v>52</v>
      </c>
      <c r="J129" s="1"/>
      <c r="K129" s="54" t="s">
        <v>89</v>
      </c>
      <c r="L129" s="53" t="s">
        <v>90</v>
      </c>
      <c r="M129" s="3"/>
      <c r="N129" s="4">
        <f t="shared" si="12"/>
        <v>0</v>
      </c>
      <c r="O129" s="4">
        <f t="shared" si="13"/>
        <v>0</v>
      </c>
      <c r="P129" s="4" t="str">
        <f t="shared" si="14"/>
        <v>E</v>
      </c>
      <c r="Q129" s="4">
        <f t="shared" si="15"/>
        <v>0</v>
      </c>
    </row>
    <row r="130" spans="1:17" ht="17.25" customHeight="1" x14ac:dyDescent="0.25">
      <c r="A130" s="4">
        <f t="shared" si="9"/>
        <v>0</v>
      </c>
      <c r="B130" s="4" t="str">
        <f t="shared" si="16"/>
        <v>E</v>
      </c>
      <c r="C130" s="4">
        <f t="shared" si="10"/>
        <v>0</v>
      </c>
      <c r="D130" s="4">
        <f t="shared" si="11"/>
        <v>0</v>
      </c>
      <c r="E130" s="3"/>
      <c r="F130" s="53" t="s">
        <v>62</v>
      </c>
      <c r="G130" s="54" t="s">
        <v>84</v>
      </c>
      <c r="H130" s="1"/>
      <c r="I130" s="1" t="s">
        <v>52</v>
      </c>
      <c r="J130" s="1"/>
      <c r="K130" s="54" t="s">
        <v>93</v>
      </c>
      <c r="L130" s="53" t="s">
        <v>94</v>
      </c>
      <c r="M130" s="3"/>
      <c r="N130" s="4">
        <f t="shared" si="12"/>
        <v>0</v>
      </c>
      <c r="O130" s="4">
        <f t="shared" si="13"/>
        <v>0</v>
      </c>
      <c r="P130" s="4" t="str">
        <f t="shared" si="14"/>
        <v>E</v>
      </c>
      <c r="Q130" s="4">
        <f t="shared" si="15"/>
        <v>0</v>
      </c>
    </row>
    <row r="131" spans="1:17" ht="17.25" customHeight="1" x14ac:dyDescent="0.25">
      <c r="A131" s="4">
        <f t="shared" si="9"/>
        <v>0</v>
      </c>
      <c r="B131" s="4" t="str">
        <f t="shared" si="16"/>
        <v>E</v>
      </c>
      <c r="C131" s="4">
        <f t="shared" si="10"/>
        <v>0</v>
      </c>
      <c r="D131" s="4">
        <f t="shared" si="11"/>
        <v>0</v>
      </c>
      <c r="E131" s="3"/>
      <c r="F131" s="53" t="s">
        <v>96</v>
      </c>
      <c r="G131" s="54" t="s">
        <v>95</v>
      </c>
      <c r="H131" s="1"/>
      <c r="I131" s="1" t="s">
        <v>52</v>
      </c>
      <c r="J131" s="1"/>
      <c r="K131" s="54" t="s">
        <v>64</v>
      </c>
      <c r="L131" s="53" t="s">
        <v>83</v>
      </c>
      <c r="M131" s="3"/>
      <c r="N131" s="4">
        <f t="shared" si="12"/>
        <v>0</v>
      </c>
      <c r="O131" s="4">
        <f t="shared" si="13"/>
        <v>0</v>
      </c>
      <c r="P131" s="4" t="str">
        <f t="shared" si="14"/>
        <v>E</v>
      </c>
      <c r="Q131" s="4">
        <f t="shared" si="15"/>
        <v>0</v>
      </c>
    </row>
    <row r="132" spans="1:17" ht="17.25" customHeight="1" x14ac:dyDescent="0.25">
      <c r="A132" s="4">
        <f t="shared" ref="A132:A195" si="17">C132-D132</f>
        <v>0</v>
      </c>
      <c r="B132" s="4" t="str">
        <f t="shared" si="16"/>
        <v>E</v>
      </c>
      <c r="C132" s="4">
        <f t="shared" ref="C132:C195" si="18">H132</f>
        <v>0</v>
      </c>
      <c r="D132" s="4">
        <f t="shared" ref="D132:D195" si="19">J132</f>
        <v>0</v>
      </c>
      <c r="E132" s="3"/>
      <c r="F132" s="53" t="s">
        <v>88</v>
      </c>
      <c r="G132" s="54" t="s">
        <v>87</v>
      </c>
      <c r="H132" s="1"/>
      <c r="I132" s="1" t="s">
        <v>52</v>
      </c>
      <c r="J132" s="1"/>
      <c r="K132" s="54" t="s">
        <v>80</v>
      </c>
      <c r="L132" s="53" t="s">
        <v>81</v>
      </c>
      <c r="M132" s="3"/>
      <c r="N132" s="4">
        <f t="shared" ref="N132:N195" si="20">H132</f>
        <v>0</v>
      </c>
      <c r="O132" s="4">
        <f t="shared" ref="O132:O195" si="21">J132</f>
        <v>0</v>
      </c>
      <c r="P132" s="4" t="str">
        <f>_xlfn.IFS(Q132&gt;=5,"V",Q132&lt;=-5,"D",Q132&lt;=-4.99,"E",Q132&lt;=4.99,"E")</f>
        <v>E</v>
      </c>
      <c r="Q132" s="4">
        <f t="shared" ref="Q132:Q195" si="22">J132-H132</f>
        <v>0</v>
      </c>
    </row>
    <row r="133" spans="1:17" ht="17.25" customHeight="1" x14ac:dyDescent="0.25">
      <c r="E133" s="3"/>
      <c r="F133" s="53" t="s">
        <v>13</v>
      </c>
      <c r="G133" s="52"/>
      <c r="H133" s="52"/>
      <c r="I133" s="52"/>
      <c r="J133" s="52"/>
      <c r="K133" s="52"/>
      <c r="L133" s="52"/>
      <c r="M133" s="3"/>
    </row>
    <row r="134" spans="1:17" ht="17.25" customHeight="1" x14ac:dyDescent="0.25">
      <c r="E134" s="3"/>
      <c r="F134" s="1" t="s">
        <v>1</v>
      </c>
      <c r="G134" s="53" t="s">
        <v>2</v>
      </c>
      <c r="H134" s="1"/>
      <c r="I134" s="1"/>
      <c r="J134" s="1"/>
      <c r="K134" s="53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0</v>
      </c>
      <c r="B135" s="4" t="str">
        <f t="shared" si="16"/>
        <v>E</v>
      </c>
      <c r="C135" s="4">
        <f t="shared" si="18"/>
        <v>0</v>
      </c>
      <c r="D135" s="4">
        <f t="shared" si="19"/>
        <v>0</v>
      </c>
      <c r="E135" s="3"/>
      <c r="F135" s="53" t="s">
        <v>90</v>
      </c>
      <c r="G135" s="54" t="s">
        <v>89</v>
      </c>
      <c r="H135" s="1"/>
      <c r="I135" s="1" t="s">
        <v>52</v>
      </c>
      <c r="J135" s="1"/>
      <c r="K135" s="54" t="s">
        <v>84</v>
      </c>
      <c r="L135" s="53" t="s">
        <v>62</v>
      </c>
      <c r="M135" s="3"/>
      <c r="N135" s="4">
        <f t="shared" si="20"/>
        <v>0</v>
      </c>
      <c r="O135" s="4">
        <f t="shared" si="21"/>
        <v>0</v>
      </c>
      <c r="P135" s="4" t="str">
        <f t="shared" ref="P135:P198" si="23">_xlfn.IFS(Q135&gt;=5,"V",Q135&lt;=-5,"D",Q135&lt;=-4.99,"E",Q135&lt;=4.99,"E")</f>
        <v>E</v>
      </c>
      <c r="Q135" s="4">
        <f t="shared" si="22"/>
        <v>0</v>
      </c>
    </row>
    <row r="136" spans="1:17" ht="17.25" customHeight="1" x14ac:dyDescent="0.25">
      <c r="A136" s="4">
        <f t="shared" si="17"/>
        <v>0</v>
      </c>
      <c r="B136" s="4" t="str">
        <f t="shared" si="16"/>
        <v>E</v>
      </c>
      <c r="C136" s="4">
        <f t="shared" si="18"/>
        <v>0</v>
      </c>
      <c r="D136" s="4">
        <f t="shared" si="19"/>
        <v>0</v>
      </c>
      <c r="E136" s="3"/>
      <c r="F136" s="53" t="s">
        <v>94</v>
      </c>
      <c r="G136" s="54" t="s">
        <v>93</v>
      </c>
      <c r="H136" s="1"/>
      <c r="I136" s="1" t="s">
        <v>52</v>
      </c>
      <c r="J136" s="1"/>
      <c r="K136" s="54" t="s">
        <v>99</v>
      </c>
      <c r="L136" s="53" t="s">
        <v>65</v>
      </c>
      <c r="M136" s="3"/>
      <c r="N136" s="4">
        <f t="shared" si="20"/>
        <v>0</v>
      </c>
      <c r="O136" s="4">
        <f t="shared" si="21"/>
        <v>0</v>
      </c>
      <c r="P136" s="4" t="str">
        <f t="shared" si="23"/>
        <v>E</v>
      </c>
      <c r="Q136" s="4">
        <f t="shared" si="22"/>
        <v>0</v>
      </c>
    </row>
    <row r="137" spans="1:17" ht="17.25" customHeight="1" x14ac:dyDescent="0.25">
      <c r="A137" s="4">
        <f t="shared" si="17"/>
        <v>0</v>
      </c>
      <c r="B137" s="4" t="str">
        <f t="shared" si="16"/>
        <v>E</v>
      </c>
      <c r="C137" s="4">
        <f t="shared" si="18"/>
        <v>0</v>
      </c>
      <c r="D137" s="4">
        <f t="shared" si="19"/>
        <v>0</v>
      </c>
      <c r="E137" s="3"/>
      <c r="F137" s="53" t="s">
        <v>72</v>
      </c>
      <c r="G137" s="54" t="s">
        <v>73</v>
      </c>
      <c r="H137" s="1"/>
      <c r="I137" s="1" t="s">
        <v>52</v>
      </c>
      <c r="J137" s="1"/>
      <c r="K137" s="54" t="s">
        <v>78</v>
      </c>
      <c r="L137" s="53" t="s">
        <v>79</v>
      </c>
      <c r="M137" s="3"/>
      <c r="N137" s="4">
        <f t="shared" si="20"/>
        <v>0</v>
      </c>
      <c r="O137" s="4">
        <f t="shared" si="21"/>
        <v>0</v>
      </c>
      <c r="P137" s="4" t="str">
        <f t="shared" si="23"/>
        <v>E</v>
      </c>
      <c r="Q137" s="4">
        <f t="shared" si="22"/>
        <v>0</v>
      </c>
    </row>
    <row r="138" spans="1:17" ht="17.25" customHeight="1" x14ac:dyDescent="0.25">
      <c r="A138" s="4">
        <f t="shared" si="17"/>
        <v>0</v>
      </c>
      <c r="B138" s="4" t="str">
        <f t="shared" si="16"/>
        <v>E</v>
      </c>
      <c r="C138" s="4">
        <f t="shared" si="18"/>
        <v>0</v>
      </c>
      <c r="D138" s="4">
        <f t="shared" si="19"/>
        <v>0</v>
      </c>
      <c r="E138" s="3"/>
      <c r="F138" s="53" t="s">
        <v>97</v>
      </c>
      <c r="G138" s="54" t="s">
        <v>98</v>
      </c>
      <c r="H138" s="1"/>
      <c r="I138" s="1" t="s">
        <v>52</v>
      </c>
      <c r="J138" s="1"/>
      <c r="K138" s="54" t="s">
        <v>95</v>
      </c>
      <c r="L138" s="53" t="s">
        <v>96</v>
      </c>
      <c r="M138" s="3"/>
      <c r="N138" s="4">
        <f t="shared" si="20"/>
        <v>0</v>
      </c>
      <c r="O138" s="4">
        <f t="shared" si="21"/>
        <v>0</v>
      </c>
      <c r="P138" s="4" t="str">
        <f t="shared" si="23"/>
        <v>E</v>
      </c>
      <c r="Q138" s="4">
        <f t="shared" si="22"/>
        <v>0</v>
      </c>
    </row>
    <row r="139" spans="1:17" ht="17.25" customHeight="1" x14ac:dyDescent="0.25">
      <c r="A139" s="4">
        <f t="shared" si="17"/>
        <v>0</v>
      </c>
      <c r="B139" s="4" t="str">
        <f t="shared" si="16"/>
        <v>E</v>
      </c>
      <c r="C139" s="4">
        <f t="shared" si="18"/>
        <v>0</v>
      </c>
      <c r="D139" s="4">
        <f t="shared" si="19"/>
        <v>0</v>
      </c>
      <c r="E139" s="3"/>
      <c r="F139" s="53" t="s">
        <v>81</v>
      </c>
      <c r="G139" s="54" t="s">
        <v>80</v>
      </c>
      <c r="H139" s="1"/>
      <c r="I139" s="1" t="s">
        <v>52</v>
      </c>
      <c r="J139" s="1"/>
      <c r="K139" s="54" t="s">
        <v>100</v>
      </c>
      <c r="L139" s="53" t="s">
        <v>60</v>
      </c>
      <c r="M139" s="3"/>
      <c r="N139" s="4">
        <f t="shared" si="20"/>
        <v>0</v>
      </c>
      <c r="O139" s="4">
        <f t="shared" si="21"/>
        <v>0</v>
      </c>
      <c r="P139" s="4" t="str">
        <f t="shared" si="23"/>
        <v>E</v>
      </c>
      <c r="Q139" s="4">
        <f t="shared" si="22"/>
        <v>0</v>
      </c>
    </row>
    <row r="140" spans="1:17" ht="17.25" customHeight="1" x14ac:dyDescent="0.25">
      <c r="A140" s="4">
        <f t="shared" si="17"/>
        <v>0</v>
      </c>
      <c r="B140" s="4" t="str">
        <f t="shared" si="16"/>
        <v>E</v>
      </c>
      <c r="C140" s="4">
        <f t="shared" si="18"/>
        <v>0</v>
      </c>
      <c r="D140" s="4">
        <f t="shared" si="19"/>
        <v>0</v>
      </c>
      <c r="E140" s="3"/>
      <c r="F140" s="53" t="s">
        <v>83</v>
      </c>
      <c r="G140" s="54" t="s">
        <v>64</v>
      </c>
      <c r="H140" s="1"/>
      <c r="I140" s="1" t="s">
        <v>52</v>
      </c>
      <c r="J140" s="1"/>
      <c r="K140" s="54" t="s">
        <v>91</v>
      </c>
      <c r="L140" s="53" t="s">
        <v>92</v>
      </c>
      <c r="M140" s="3"/>
      <c r="N140" s="4">
        <f t="shared" si="20"/>
        <v>0</v>
      </c>
      <c r="O140" s="4">
        <f t="shared" si="21"/>
        <v>0</v>
      </c>
      <c r="P140" s="4" t="str">
        <f t="shared" si="23"/>
        <v>E</v>
      </c>
      <c r="Q140" s="4">
        <f t="shared" si="22"/>
        <v>0</v>
      </c>
    </row>
    <row r="141" spans="1:17" ht="17.25" customHeight="1" x14ac:dyDescent="0.25">
      <c r="A141" s="4">
        <f t="shared" si="17"/>
        <v>0</v>
      </c>
      <c r="B141" s="4" t="str">
        <f t="shared" si="16"/>
        <v>E</v>
      </c>
      <c r="C141" s="4">
        <f t="shared" si="18"/>
        <v>0</v>
      </c>
      <c r="D141" s="4">
        <f t="shared" si="19"/>
        <v>0</v>
      </c>
      <c r="E141" s="3"/>
      <c r="F141" s="53" t="s">
        <v>68</v>
      </c>
      <c r="G141" s="54" t="s">
        <v>71</v>
      </c>
      <c r="H141" s="1"/>
      <c r="I141" s="1" t="s">
        <v>52</v>
      </c>
      <c r="J141" s="1"/>
      <c r="K141" s="54" t="s">
        <v>74</v>
      </c>
      <c r="L141" s="53" t="s">
        <v>75</v>
      </c>
      <c r="M141" s="3"/>
      <c r="N141" s="4">
        <f t="shared" si="20"/>
        <v>0</v>
      </c>
      <c r="O141" s="4">
        <f t="shared" si="21"/>
        <v>0</v>
      </c>
      <c r="P141" s="4" t="str">
        <f t="shared" si="23"/>
        <v>E</v>
      </c>
      <c r="Q141" s="4">
        <f t="shared" si="22"/>
        <v>0</v>
      </c>
    </row>
    <row r="142" spans="1:17" ht="17.25" customHeight="1" x14ac:dyDescent="0.25">
      <c r="A142" s="4">
        <f t="shared" si="17"/>
        <v>0</v>
      </c>
      <c r="B142" s="4" t="str">
        <f t="shared" si="16"/>
        <v>E</v>
      </c>
      <c r="C142" s="4">
        <f t="shared" si="18"/>
        <v>0</v>
      </c>
      <c r="D142" s="4">
        <f t="shared" si="19"/>
        <v>0</v>
      </c>
      <c r="E142" s="3"/>
      <c r="F142" s="53" t="s">
        <v>63</v>
      </c>
      <c r="G142" s="54" t="s">
        <v>86</v>
      </c>
      <c r="H142" s="1"/>
      <c r="I142" s="1" t="s">
        <v>52</v>
      </c>
      <c r="J142" s="1"/>
      <c r="K142" s="54" t="s">
        <v>69</v>
      </c>
      <c r="L142" s="53" t="s">
        <v>70</v>
      </c>
      <c r="M142" s="3"/>
      <c r="N142" s="4">
        <f t="shared" si="20"/>
        <v>0</v>
      </c>
      <c r="O142" s="4">
        <f t="shared" si="21"/>
        <v>0</v>
      </c>
      <c r="P142" s="4" t="str">
        <f t="shared" si="23"/>
        <v>E</v>
      </c>
      <c r="Q142" s="4">
        <f t="shared" si="22"/>
        <v>0</v>
      </c>
    </row>
    <row r="143" spans="1:17" ht="17.25" customHeight="1" x14ac:dyDescent="0.25">
      <c r="A143" s="4">
        <f t="shared" si="17"/>
        <v>0</v>
      </c>
      <c r="B143" s="4" t="str">
        <f t="shared" ref="B143:B204" si="24">_xlfn.IFS(A143&gt;=5,"V",A143&lt;=-5,"D",A143&lt;=-4.99,"E",A143&lt;=4.99,"E")</f>
        <v>E</v>
      </c>
      <c r="C143" s="4">
        <f t="shared" si="18"/>
        <v>0</v>
      </c>
      <c r="D143" s="4">
        <f t="shared" si="19"/>
        <v>0</v>
      </c>
      <c r="E143" s="3"/>
      <c r="F143" s="53" t="s">
        <v>66</v>
      </c>
      <c r="G143" s="54" t="s">
        <v>67</v>
      </c>
      <c r="H143" s="1"/>
      <c r="I143" s="1" t="s">
        <v>52</v>
      </c>
      <c r="J143" s="1"/>
      <c r="K143" s="54" t="s">
        <v>82</v>
      </c>
      <c r="L143" s="53" t="s">
        <v>61</v>
      </c>
      <c r="M143" s="3"/>
      <c r="N143" s="4">
        <f t="shared" si="20"/>
        <v>0</v>
      </c>
      <c r="O143" s="4">
        <f t="shared" si="21"/>
        <v>0</v>
      </c>
      <c r="P143" s="4" t="str">
        <f t="shared" si="23"/>
        <v>E</v>
      </c>
      <c r="Q143" s="4">
        <f t="shared" si="22"/>
        <v>0</v>
      </c>
    </row>
    <row r="144" spans="1:17" ht="17.25" customHeight="1" x14ac:dyDescent="0.25">
      <c r="A144" s="4">
        <f t="shared" si="17"/>
        <v>0</v>
      </c>
      <c r="B144" s="4" t="str">
        <f t="shared" si="24"/>
        <v>E</v>
      </c>
      <c r="C144" s="4">
        <f t="shared" si="18"/>
        <v>0</v>
      </c>
      <c r="D144" s="4">
        <f t="shared" si="19"/>
        <v>0</v>
      </c>
      <c r="E144" s="3"/>
      <c r="F144" s="53" t="s">
        <v>88</v>
      </c>
      <c r="G144" s="54" t="s">
        <v>87</v>
      </c>
      <c r="H144" s="1"/>
      <c r="I144" s="1" t="s">
        <v>52</v>
      </c>
      <c r="J144" s="1"/>
      <c r="K144" s="54" t="s">
        <v>76</v>
      </c>
      <c r="L144" s="53" t="s">
        <v>77</v>
      </c>
      <c r="M144" s="3"/>
      <c r="N144" s="4">
        <f t="shared" si="20"/>
        <v>0</v>
      </c>
      <c r="O144" s="4">
        <f t="shared" si="21"/>
        <v>0</v>
      </c>
      <c r="P144" s="4" t="str">
        <f t="shared" si="23"/>
        <v>E</v>
      </c>
      <c r="Q144" s="4">
        <f t="shared" si="22"/>
        <v>0</v>
      </c>
    </row>
    <row r="145" spans="1:17" ht="17.25" customHeight="1" x14ac:dyDescent="0.25">
      <c r="E145" s="3"/>
      <c r="F145" s="53" t="s">
        <v>14</v>
      </c>
      <c r="G145" s="52"/>
      <c r="H145" s="52"/>
      <c r="I145" s="52"/>
      <c r="J145" s="52"/>
      <c r="K145" s="52"/>
      <c r="L145" s="52"/>
      <c r="M145" s="3"/>
    </row>
    <row r="146" spans="1:17" ht="17.25" customHeight="1" x14ac:dyDescent="0.25">
      <c r="E146" s="3"/>
      <c r="F146" s="1" t="s">
        <v>1</v>
      </c>
      <c r="G146" s="53" t="s">
        <v>2</v>
      </c>
      <c r="H146" s="1"/>
      <c r="I146" s="1"/>
      <c r="J146" s="1"/>
      <c r="K146" s="53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3" t="s">
        <v>79</v>
      </c>
      <c r="G147" s="54" t="s">
        <v>78</v>
      </c>
      <c r="H147" s="1"/>
      <c r="I147" s="1" t="s">
        <v>52</v>
      </c>
      <c r="J147" s="1"/>
      <c r="K147" s="54" t="s">
        <v>86</v>
      </c>
      <c r="L147" s="53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3" t="s">
        <v>77</v>
      </c>
      <c r="G148" s="54" t="s">
        <v>76</v>
      </c>
      <c r="H148" s="1"/>
      <c r="I148" s="1" t="s">
        <v>52</v>
      </c>
      <c r="J148" s="1"/>
      <c r="K148" s="54" t="s">
        <v>89</v>
      </c>
      <c r="L148" s="53" t="s">
        <v>90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3" t="s">
        <v>72</v>
      </c>
      <c r="G149" s="54" t="s">
        <v>73</v>
      </c>
      <c r="H149" s="1"/>
      <c r="I149" s="1" t="s">
        <v>52</v>
      </c>
      <c r="J149" s="1"/>
      <c r="K149" s="54" t="s">
        <v>67</v>
      </c>
      <c r="L149" s="53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3" t="s">
        <v>65</v>
      </c>
      <c r="G150" s="54" t="s">
        <v>99</v>
      </c>
      <c r="H150" s="1"/>
      <c r="I150" s="1" t="s">
        <v>52</v>
      </c>
      <c r="J150" s="1"/>
      <c r="K150" s="54" t="s">
        <v>74</v>
      </c>
      <c r="L150" s="53" t="s">
        <v>75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3" t="s">
        <v>81</v>
      </c>
      <c r="G151" s="54" t="s">
        <v>80</v>
      </c>
      <c r="H151" s="1"/>
      <c r="I151" s="1" t="s">
        <v>52</v>
      </c>
      <c r="J151" s="1"/>
      <c r="K151" s="54" t="s">
        <v>93</v>
      </c>
      <c r="L151" s="53" t="s">
        <v>94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3" t="s">
        <v>60</v>
      </c>
      <c r="G152" s="54" t="s">
        <v>100</v>
      </c>
      <c r="H152" s="1"/>
      <c r="I152" s="1" t="s">
        <v>52</v>
      </c>
      <c r="J152" s="1"/>
      <c r="K152" s="54" t="s">
        <v>64</v>
      </c>
      <c r="L152" s="53" t="s">
        <v>83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3" t="s">
        <v>70</v>
      </c>
      <c r="G153" s="54" t="s">
        <v>69</v>
      </c>
      <c r="H153" s="1"/>
      <c r="I153" s="1" t="s">
        <v>52</v>
      </c>
      <c r="J153" s="1"/>
      <c r="K153" s="54" t="s">
        <v>71</v>
      </c>
      <c r="L153" s="53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3" t="s">
        <v>62</v>
      </c>
      <c r="G154" s="54" t="s">
        <v>84</v>
      </c>
      <c r="H154" s="1"/>
      <c r="I154" s="1" t="s">
        <v>52</v>
      </c>
      <c r="J154" s="1"/>
      <c r="K154" s="54" t="s">
        <v>91</v>
      </c>
      <c r="L154" s="53" t="s">
        <v>92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3" t="s">
        <v>96</v>
      </c>
      <c r="G155" s="54" t="s">
        <v>95</v>
      </c>
      <c r="H155" s="1"/>
      <c r="I155" s="1" t="s">
        <v>52</v>
      </c>
      <c r="J155" s="1"/>
      <c r="K155" s="54" t="s">
        <v>87</v>
      </c>
      <c r="L155" s="53" t="s">
        <v>88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3" t="s">
        <v>61</v>
      </c>
      <c r="G156" s="54" t="s">
        <v>82</v>
      </c>
      <c r="H156" s="1"/>
      <c r="I156" s="1" t="s">
        <v>52</v>
      </c>
      <c r="J156" s="1"/>
      <c r="K156" s="54" t="s">
        <v>98</v>
      </c>
      <c r="L156" s="53" t="s">
        <v>97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3" t="s">
        <v>15</v>
      </c>
      <c r="G157" s="52"/>
      <c r="H157" s="52"/>
      <c r="I157" s="52"/>
      <c r="J157" s="52"/>
      <c r="K157" s="52"/>
      <c r="L157" s="52"/>
      <c r="M157" s="3"/>
    </row>
    <row r="158" spans="1:17" ht="17.25" customHeight="1" x14ac:dyDescent="0.25">
      <c r="E158" s="3"/>
      <c r="F158" s="1" t="s">
        <v>1</v>
      </c>
      <c r="G158" s="53" t="s">
        <v>2</v>
      </c>
      <c r="H158" s="1"/>
      <c r="I158" s="1"/>
      <c r="J158" s="1"/>
      <c r="K158" s="53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3" t="s">
        <v>79</v>
      </c>
      <c r="G159" s="54" t="s">
        <v>78</v>
      </c>
      <c r="H159" s="1"/>
      <c r="I159" s="1" t="s">
        <v>52</v>
      </c>
      <c r="J159" s="1"/>
      <c r="K159" s="54" t="s">
        <v>71</v>
      </c>
      <c r="L159" s="53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3" t="s">
        <v>77</v>
      </c>
      <c r="G160" s="54" t="s">
        <v>76</v>
      </c>
      <c r="H160" s="1"/>
      <c r="I160" s="1" t="s">
        <v>52</v>
      </c>
      <c r="J160" s="1"/>
      <c r="K160" s="54" t="s">
        <v>73</v>
      </c>
      <c r="L160" s="53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3" t="s">
        <v>92</v>
      </c>
      <c r="G161" s="54" t="s">
        <v>91</v>
      </c>
      <c r="H161" s="1"/>
      <c r="I161" s="1" t="s">
        <v>52</v>
      </c>
      <c r="J161" s="1"/>
      <c r="K161" s="54" t="s">
        <v>87</v>
      </c>
      <c r="L161" s="53" t="s">
        <v>88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3" t="s">
        <v>65</v>
      </c>
      <c r="G162" s="54" t="s">
        <v>99</v>
      </c>
      <c r="H162" s="1"/>
      <c r="I162" s="1" t="s">
        <v>52</v>
      </c>
      <c r="J162" s="1"/>
      <c r="K162" s="54" t="s">
        <v>64</v>
      </c>
      <c r="L162" s="53" t="s">
        <v>83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3" t="s">
        <v>75</v>
      </c>
      <c r="G163" s="54" t="s">
        <v>74</v>
      </c>
      <c r="H163" s="1"/>
      <c r="I163" s="1" t="s">
        <v>52</v>
      </c>
      <c r="J163" s="1"/>
      <c r="K163" s="54" t="s">
        <v>98</v>
      </c>
      <c r="L163" s="53" t="s">
        <v>97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3" t="s">
        <v>60</v>
      </c>
      <c r="G164" s="54" t="s">
        <v>100</v>
      </c>
      <c r="H164" s="1"/>
      <c r="I164" s="1" t="s">
        <v>52</v>
      </c>
      <c r="J164" s="1"/>
      <c r="K164" s="54" t="s">
        <v>84</v>
      </c>
      <c r="L164" s="53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3" t="s">
        <v>70</v>
      </c>
      <c r="G165" s="54" t="s">
        <v>69</v>
      </c>
      <c r="H165" s="1"/>
      <c r="I165" s="1" t="s">
        <v>52</v>
      </c>
      <c r="J165" s="1"/>
      <c r="K165" s="54" t="s">
        <v>93</v>
      </c>
      <c r="L165" s="53" t="s">
        <v>94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3" t="s">
        <v>63</v>
      </c>
      <c r="G166" s="54" t="s">
        <v>86</v>
      </c>
      <c r="H166" s="1"/>
      <c r="I166" s="1" t="s">
        <v>52</v>
      </c>
      <c r="J166" s="1"/>
      <c r="K166" s="54" t="s">
        <v>67</v>
      </c>
      <c r="L166" s="53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3" t="s">
        <v>96</v>
      </c>
      <c r="G167" s="54" t="s">
        <v>95</v>
      </c>
      <c r="H167" s="1"/>
      <c r="I167" s="1" t="s">
        <v>52</v>
      </c>
      <c r="J167" s="1"/>
      <c r="K167" s="54" t="s">
        <v>80</v>
      </c>
      <c r="L167" s="53" t="s">
        <v>81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3" t="s">
        <v>61</v>
      </c>
      <c r="G168" s="54" t="s">
        <v>82</v>
      </c>
      <c r="H168" s="1"/>
      <c r="I168" s="1" t="s">
        <v>52</v>
      </c>
      <c r="J168" s="1"/>
      <c r="K168" s="54" t="s">
        <v>89</v>
      </c>
      <c r="L168" s="53" t="s">
        <v>90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3" t="s">
        <v>16</v>
      </c>
      <c r="G169" s="52"/>
      <c r="H169" s="52"/>
      <c r="I169" s="52"/>
      <c r="J169" s="52"/>
      <c r="K169" s="52"/>
      <c r="L169" s="52"/>
      <c r="M169" s="3"/>
    </row>
    <row r="170" spans="1:17" ht="17.25" customHeight="1" x14ac:dyDescent="0.25">
      <c r="E170" s="3"/>
      <c r="F170" s="1" t="s">
        <v>1</v>
      </c>
      <c r="G170" s="53" t="s">
        <v>2</v>
      </c>
      <c r="H170" s="1"/>
      <c r="I170" s="1"/>
      <c r="J170" s="1"/>
      <c r="K170" s="53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3" t="s">
        <v>90</v>
      </c>
      <c r="G171" s="54" t="s">
        <v>89</v>
      </c>
      <c r="H171" s="1"/>
      <c r="I171" s="1" t="s">
        <v>52</v>
      </c>
      <c r="J171" s="1"/>
      <c r="K171" s="54" t="s">
        <v>69</v>
      </c>
      <c r="L171" s="53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3" t="s">
        <v>94</v>
      </c>
      <c r="G172" s="54" t="s">
        <v>93</v>
      </c>
      <c r="H172" s="1"/>
      <c r="I172" s="1" t="s">
        <v>52</v>
      </c>
      <c r="J172" s="1"/>
      <c r="K172" s="54" t="s">
        <v>78</v>
      </c>
      <c r="L172" s="53" t="s">
        <v>79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3" t="s">
        <v>72</v>
      </c>
      <c r="G173" s="54" t="s">
        <v>73</v>
      </c>
      <c r="H173" s="1"/>
      <c r="I173" s="1" t="s">
        <v>52</v>
      </c>
      <c r="J173" s="1"/>
      <c r="K173" s="54" t="s">
        <v>91</v>
      </c>
      <c r="L173" s="53" t="s">
        <v>92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3" t="s">
        <v>97</v>
      </c>
      <c r="G174" s="54" t="s">
        <v>98</v>
      </c>
      <c r="H174" s="1"/>
      <c r="I174" s="1" t="s">
        <v>52</v>
      </c>
      <c r="J174" s="1"/>
      <c r="K174" s="54" t="s">
        <v>100</v>
      </c>
      <c r="L174" s="53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3" t="s">
        <v>81</v>
      </c>
      <c r="G175" s="54" t="s">
        <v>80</v>
      </c>
      <c r="H175" s="1"/>
      <c r="I175" s="1" t="s">
        <v>52</v>
      </c>
      <c r="J175" s="1"/>
      <c r="K175" s="54" t="s">
        <v>82</v>
      </c>
      <c r="L175" s="53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3" t="s">
        <v>83</v>
      </c>
      <c r="G176" s="54" t="s">
        <v>64</v>
      </c>
      <c r="H176" s="1"/>
      <c r="I176" s="1" t="s">
        <v>52</v>
      </c>
      <c r="J176" s="1"/>
      <c r="K176" s="54" t="s">
        <v>86</v>
      </c>
      <c r="L176" s="53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3" t="s">
        <v>68</v>
      </c>
      <c r="G177" s="54" t="s">
        <v>71</v>
      </c>
      <c r="H177" s="1"/>
      <c r="I177" s="1" t="s">
        <v>52</v>
      </c>
      <c r="J177" s="1"/>
      <c r="K177" s="54" t="s">
        <v>76</v>
      </c>
      <c r="L177" s="53" t="s">
        <v>77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3" t="s">
        <v>62</v>
      </c>
      <c r="G178" s="54" t="s">
        <v>84</v>
      </c>
      <c r="H178" s="1"/>
      <c r="I178" s="1" t="s">
        <v>52</v>
      </c>
      <c r="J178" s="1"/>
      <c r="K178" s="54" t="s">
        <v>95</v>
      </c>
      <c r="L178" s="53" t="s">
        <v>96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3" t="s">
        <v>66</v>
      </c>
      <c r="G179" s="54" t="s">
        <v>67</v>
      </c>
      <c r="H179" s="1"/>
      <c r="I179" s="1" t="s">
        <v>52</v>
      </c>
      <c r="J179" s="1"/>
      <c r="K179" s="54" t="s">
        <v>74</v>
      </c>
      <c r="L179" s="53" t="s">
        <v>75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3" t="s">
        <v>88</v>
      </c>
      <c r="G180" s="54" t="s">
        <v>87</v>
      </c>
      <c r="H180" s="1"/>
      <c r="I180" s="1" t="s">
        <v>52</v>
      </c>
      <c r="J180" s="1"/>
      <c r="K180" s="54" t="s">
        <v>99</v>
      </c>
      <c r="L180" s="53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3" t="s">
        <v>17</v>
      </c>
      <c r="G181" s="52"/>
      <c r="H181" s="52"/>
      <c r="I181" s="52"/>
      <c r="J181" s="52"/>
      <c r="K181" s="52"/>
      <c r="L181" s="52"/>
      <c r="M181" s="3"/>
    </row>
    <row r="182" spans="1:17" ht="17.25" customHeight="1" x14ac:dyDescent="0.25">
      <c r="E182" s="3"/>
      <c r="F182" s="1" t="s">
        <v>1</v>
      </c>
      <c r="G182" s="53" t="s">
        <v>2</v>
      </c>
      <c r="H182" s="1"/>
      <c r="I182" s="1"/>
      <c r="J182" s="1"/>
      <c r="K182" s="53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3" t="s">
        <v>79</v>
      </c>
      <c r="G183" s="54" t="s">
        <v>78</v>
      </c>
      <c r="H183" s="1"/>
      <c r="I183" s="1" t="s">
        <v>52</v>
      </c>
      <c r="J183" s="1"/>
      <c r="K183" s="54" t="s">
        <v>99</v>
      </c>
      <c r="L183" s="53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3" t="s">
        <v>94</v>
      </c>
      <c r="G184" s="54" t="s">
        <v>93</v>
      </c>
      <c r="H184" s="1"/>
      <c r="I184" s="1" t="s">
        <v>52</v>
      </c>
      <c r="J184" s="1"/>
      <c r="K184" s="54" t="s">
        <v>95</v>
      </c>
      <c r="L184" s="53" t="s">
        <v>96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3" t="s">
        <v>72</v>
      </c>
      <c r="G185" s="54" t="s">
        <v>73</v>
      </c>
      <c r="H185" s="1"/>
      <c r="I185" s="1" t="s">
        <v>52</v>
      </c>
      <c r="J185" s="1"/>
      <c r="K185" s="54" t="s">
        <v>84</v>
      </c>
      <c r="L185" s="53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3" t="s">
        <v>97</v>
      </c>
      <c r="G186" s="54" t="s">
        <v>98</v>
      </c>
      <c r="H186" s="1"/>
      <c r="I186" s="1" t="s">
        <v>52</v>
      </c>
      <c r="J186" s="1"/>
      <c r="K186" s="54" t="s">
        <v>87</v>
      </c>
      <c r="L186" s="53" t="s">
        <v>88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3" t="s">
        <v>81</v>
      </c>
      <c r="G187" s="54" t="s">
        <v>80</v>
      </c>
      <c r="H187" s="1"/>
      <c r="I187" s="1" t="s">
        <v>52</v>
      </c>
      <c r="J187" s="1"/>
      <c r="K187" s="54" t="s">
        <v>89</v>
      </c>
      <c r="L187" s="53" t="s">
        <v>90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3" t="s">
        <v>60</v>
      </c>
      <c r="G188" s="54" t="s">
        <v>100</v>
      </c>
      <c r="H188" s="1"/>
      <c r="I188" s="1" t="s">
        <v>52</v>
      </c>
      <c r="J188" s="1"/>
      <c r="K188" s="54" t="s">
        <v>76</v>
      </c>
      <c r="L188" s="53" t="s">
        <v>77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3" t="s">
        <v>68</v>
      </c>
      <c r="G189" s="54" t="s">
        <v>71</v>
      </c>
      <c r="H189" s="1"/>
      <c r="I189" s="1" t="s">
        <v>52</v>
      </c>
      <c r="J189" s="1"/>
      <c r="K189" s="54" t="s">
        <v>64</v>
      </c>
      <c r="L189" s="53" t="s">
        <v>83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3" t="s">
        <v>63</v>
      </c>
      <c r="G190" s="54" t="s">
        <v>86</v>
      </c>
      <c r="H190" s="1"/>
      <c r="I190" s="1" t="s">
        <v>52</v>
      </c>
      <c r="J190" s="1"/>
      <c r="K190" s="54" t="s">
        <v>74</v>
      </c>
      <c r="L190" s="53" t="s">
        <v>75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3" t="s">
        <v>66</v>
      </c>
      <c r="G191" s="54" t="s">
        <v>67</v>
      </c>
      <c r="H191" s="1"/>
      <c r="I191" s="1" t="s">
        <v>52</v>
      </c>
      <c r="J191" s="1"/>
      <c r="K191" s="54" t="s">
        <v>91</v>
      </c>
      <c r="L191" s="53" t="s">
        <v>92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3" t="s">
        <v>61</v>
      </c>
      <c r="G192" s="54" t="s">
        <v>82</v>
      </c>
      <c r="H192" s="1"/>
      <c r="I192" s="1" t="s">
        <v>52</v>
      </c>
      <c r="J192" s="1"/>
      <c r="K192" s="54" t="s">
        <v>69</v>
      </c>
      <c r="L192" s="53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3" t="s">
        <v>18</v>
      </c>
      <c r="G193" s="52"/>
      <c r="H193" s="52"/>
      <c r="I193" s="52"/>
      <c r="J193" s="52"/>
      <c r="K193" s="52"/>
      <c r="L193" s="52"/>
      <c r="M193" s="3"/>
    </row>
    <row r="194" spans="1:17" ht="17.25" customHeight="1" x14ac:dyDescent="0.25">
      <c r="E194" s="3"/>
      <c r="F194" s="1" t="s">
        <v>1</v>
      </c>
      <c r="G194" s="53" t="s">
        <v>2</v>
      </c>
      <c r="H194" s="1"/>
      <c r="I194" s="1"/>
      <c r="J194" s="1"/>
      <c r="K194" s="53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3" t="s">
        <v>90</v>
      </c>
      <c r="G195" s="54" t="s">
        <v>89</v>
      </c>
      <c r="H195" s="1"/>
      <c r="I195" s="1" t="s">
        <v>52</v>
      </c>
      <c r="J195" s="1"/>
      <c r="K195" s="54" t="s">
        <v>67</v>
      </c>
      <c r="L195" s="53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3" t="s">
        <v>77</v>
      </c>
      <c r="G196" s="54" t="s">
        <v>76</v>
      </c>
      <c r="H196" s="1"/>
      <c r="I196" s="1" t="s">
        <v>52</v>
      </c>
      <c r="J196" s="1"/>
      <c r="K196" s="54" t="s">
        <v>82</v>
      </c>
      <c r="L196" s="53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3" t="s">
        <v>92</v>
      </c>
      <c r="G197" s="54" t="s">
        <v>91</v>
      </c>
      <c r="H197" s="1"/>
      <c r="I197" s="1" t="s">
        <v>52</v>
      </c>
      <c r="J197" s="1"/>
      <c r="K197" s="54" t="s">
        <v>100</v>
      </c>
      <c r="L197" s="53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3" t="s">
        <v>65</v>
      </c>
      <c r="G198" s="54" t="s">
        <v>99</v>
      </c>
      <c r="H198" s="1"/>
      <c r="I198" s="1" t="s">
        <v>52</v>
      </c>
      <c r="J198" s="1"/>
      <c r="K198" s="54" t="s">
        <v>71</v>
      </c>
      <c r="L198" s="53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3" t="s">
        <v>75</v>
      </c>
      <c r="G199" s="54" t="s">
        <v>74</v>
      </c>
      <c r="H199" s="1"/>
      <c r="I199" s="1" t="s">
        <v>52</v>
      </c>
      <c r="J199" s="1"/>
      <c r="K199" s="54" t="s">
        <v>78</v>
      </c>
      <c r="L199" s="53" t="s">
        <v>79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3" t="s">
        <v>83</v>
      </c>
      <c r="G200" s="54" t="s">
        <v>64</v>
      </c>
      <c r="H200" s="1"/>
      <c r="I200" s="1" t="s">
        <v>52</v>
      </c>
      <c r="J200" s="1"/>
      <c r="K200" s="54" t="s">
        <v>93</v>
      </c>
      <c r="L200" s="53" t="s">
        <v>94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3" t="s">
        <v>70</v>
      </c>
      <c r="G201" s="54" t="s">
        <v>69</v>
      </c>
      <c r="H201" s="1"/>
      <c r="I201" s="1" t="s">
        <v>52</v>
      </c>
      <c r="J201" s="1"/>
      <c r="K201" s="54" t="s">
        <v>80</v>
      </c>
      <c r="L201" s="53" t="s">
        <v>81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3" t="s">
        <v>62</v>
      </c>
      <c r="G202" s="54" t="s">
        <v>84</v>
      </c>
      <c r="H202" s="1"/>
      <c r="I202" s="1" t="s">
        <v>52</v>
      </c>
      <c r="J202" s="1"/>
      <c r="K202" s="54" t="s">
        <v>98</v>
      </c>
      <c r="L202" s="53" t="s">
        <v>97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3" t="s">
        <v>96</v>
      </c>
      <c r="G203" s="54" t="s">
        <v>95</v>
      </c>
      <c r="H203" s="1"/>
      <c r="I203" s="1" t="s">
        <v>52</v>
      </c>
      <c r="J203" s="1"/>
      <c r="K203" s="54" t="s">
        <v>73</v>
      </c>
      <c r="L203" s="53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3" t="s">
        <v>88</v>
      </c>
      <c r="G204" s="54" t="s">
        <v>87</v>
      </c>
      <c r="H204" s="1"/>
      <c r="I204" s="1" t="s">
        <v>52</v>
      </c>
      <c r="J204" s="1"/>
      <c r="K204" s="54" t="s">
        <v>86</v>
      </c>
      <c r="L204" s="53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3" t="s">
        <v>20</v>
      </c>
      <c r="G205" s="52"/>
      <c r="H205" s="52"/>
      <c r="I205" s="52"/>
      <c r="J205" s="52"/>
      <c r="K205" s="52"/>
      <c r="L205" s="52"/>
      <c r="M205" s="3"/>
    </row>
    <row r="206" spans="1:17" ht="17.25" customHeight="1" x14ac:dyDescent="0.25">
      <c r="E206" s="3"/>
      <c r="F206" s="1" t="s">
        <v>1</v>
      </c>
      <c r="G206" s="53" t="s">
        <v>2</v>
      </c>
      <c r="H206" s="1"/>
      <c r="I206" s="1"/>
      <c r="J206" s="1"/>
      <c r="K206" s="53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3" t="s">
        <v>90</v>
      </c>
      <c r="G207" s="54" t="s">
        <v>89</v>
      </c>
      <c r="H207" s="1"/>
      <c r="I207" s="1" t="s">
        <v>52</v>
      </c>
      <c r="J207" s="1"/>
      <c r="K207" s="54" t="s">
        <v>98</v>
      </c>
      <c r="L207" s="53" t="s">
        <v>97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3" t="s">
        <v>94</v>
      </c>
      <c r="G208" s="54" t="s">
        <v>93</v>
      </c>
      <c r="H208" s="1"/>
      <c r="I208" s="1" t="s">
        <v>52</v>
      </c>
      <c r="J208" s="1"/>
      <c r="K208" s="54" t="s">
        <v>74</v>
      </c>
      <c r="L208" s="53" t="s">
        <v>75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3" t="s">
        <v>92</v>
      </c>
      <c r="G209" s="54" t="s">
        <v>91</v>
      </c>
      <c r="H209" s="1"/>
      <c r="I209" s="1" t="s">
        <v>52</v>
      </c>
      <c r="J209" s="1"/>
      <c r="K209" s="54" t="s">
        <v>76</v>
      </c>
      <c r="L209" s="53" t="s">
        <v>77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3" t="s">
        <v>65</v>
      </c>
      <c r="G210" s="54" t="s">
        <v>99</v>
      </c>
      <c r="H210" s="1"/>
      <c r="I210" s="1" t="s">
        <v>52</v>
      </c>
      <c r="J210" s="1"/>
      <c r="K210" s="54" t="s">
        <v>82</v>
      </c>
      <c r="L210" s="53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3" t="s">
        <v>81</v>
      </c>
      <c r="G211" s="54" t="s">
        <v>80</v>
      </c>
      <c r="H211" s="1"/>
      <c r="I211" s="1" t="s">
        <v>52</v>
      </c>
      <c r="J211" s="1"/>
      <c r="K211" s="54" t="s">
        <v>71</v>
      </c>
      <c r="L211" s="53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3" t="s">
        <v>83</v>
      </c>
      <c r="G212" s="54" t="s">
        <v>64</v>
      </c>
      <c r="H212" s="1"/>
      <c r="I212" s="1" t="s">
        <v>52</v>
      </c>
      <c r="J212" s="1"/>
      <c r="K212" s="54" t="s">
        <v>78</v>
      </c>
      <c r="L212" s="53" t="s">
        <v>79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3" t="s">
        <v>70</v>
      </c>
      <c r="G213" s="54" t="s">
        <v>69</v>
      </c>
      <c r="H213" s="1"/>
      <c r="I213" s="1" t="s">
        <v>52</v>
      </c>
      <c r="J213" s="1"/>
      <c r="K213" s="54" t="s">
        <v>95</v>
      </c>
      <c r="L213" s="53" t="s">
        <v>96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3" t="s">
        <v>63</v>
      </c>
      <c r="G214" s="54" t="s">
        <v>86</v>
      </c>
      <c r="H214" s="1"/>
      <c r="I214" s="1" t="s">
        <v>52</v>
      </c>
      <c r="J214" s="1"/>
      <c r="K214" s="54" t="s">
        <v>100</v>
      </c>
      <c r="L214" s="53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3" t="s">
        <v>66</v>
      </c>
      <c r="G215" s="54" t="s">
        <v>67</v>
      </c>
      <c r="H215" s="1"/>
      <c r="I215" s="1" t="s">
        <v>52</v>
      </c>
      <c r="J215" s="1"/>
      <c r="K215" s="54" t="s">
        <v>84</v>
      </c>
      <c r="L215" s="53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3" t="s">
        <v>88</v>
      </c>
      <c r="G216" s="54" t="s">
        <v>87</v>
      </c>
      <c r="H216" s="1"/>
      <c r="I216" s="1" t="s">
        <v>52</v>
      </c>
      <c r="J216" s="1"/>
      <c r="K216" s="54" t="s">
        <v>73</v>
      </c>
      <c r="L216" s="53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3" t="s">
        <v>40</v>
      </c>
      <c r="G217" s="52"/>
      <c r="H217" s="52"/>
      <c r="I217" s="52"/>
      <c r="J217" s="52"/>
      <c r="K217" s="52"/>
      <c r="L217" s="52"/>
      <c r="M217" s="3"/>
    </row>
    <row r="218" spans="1:17" ht="17.25" customHeight="1" x14ac:dyDescent="0.25">
      <c r="E218" s="3"/>
      <c r="F218" s="1" t="s">
        <v>1</v>
      </c>
      <c r="G218" s="53" t="s">
        <v>2</v>
      </c>
      <c r="H218" s="1"/>
      <c r="I218" s="1"/>
      <c r="J218" s="1"/>
      <c r="K218" s="53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3" t="s">
        <v>79</v>
      </c>
      <c r="G219" s="54" t="s">
        <v>78</v>
      </c>
      <c r="H219" s="60"/>
      <c r="I219" s="1" t="s">
        <v>52</v>
      </c>
      <c r="J219" s="60"/>
      <c r="K219" s="54" t="s">
        <v>91</v>
      </c>
      <c r="L219" s="53" t="s">
        <v>92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3" t="s">
        <v>77</v>
      </c>
      <c r="G220" s="54" t="s">
        <v>76</v>
      </c>
      <c r="H220" s="60"/>
      <c r="I220" s="1" t="s">
        <v>52</v>
      </c>
      <c r="J220" s="60"/>
      <c r="K220" s="54" t="s">
        <v>67</v>
      </c>
      <c r="L220" s="53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3" t="s">
        <v>72</v>
      </c>
      <c r="G221" s="54" t="s">
        <v>73</v>
      </c>
      <c r="H221" s="60"/>
      <c r="I221" s="1" t="s">
        <v>52</v>
      </c>
      <c r="J221" s="60"/>
      <c r="K221" s="54" t="s">
        <v>80</v>
      </c>
      <c r="L221" s="53" t="s">
        <v>81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3" t="s">
        <v>97</v>
      </c>
      <c r="G222" s="54" t="s">
        <v>98</v>
      </c>
      <c r="H222" s="60"/>
      <c r="I222" s="1" t="s">
        <v>52</v>
      </c>
      <c r="J222" s="60"/>
      <c r="K222" s="54" t="s">
        <v>69</v>
      </c>
      <c r="L222" s="53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3" t="s">
        <v>75</v>
      </c>
      <c r="G223" s="54" t="s">
        <v>74</v>
      </c>
      <c r="H223" s="60"/>
      <c r="I223" s="1" t="s">
        <v>52</v>
      </c>
      <c r="J223" s="60"/>
      <c r="K223" s="54" t="s">
        <v>64</v>
      </c>
      <c r="L223" s="53" t="s">
        <v>83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3" t="s">
        <v>60</v>
      </c>
      <c r="G224" s="54" t="s">
        <v>100</v>
      </c>
      <c r="H224" s="60"/>
      <c r="I224" s="1" t="s">
        <v>52</v>
      </c>
      <c r="J224" s="60"/>
      <c r="K224" s="54" t="s">
        <v>99</v>
      </c>
      <c r="L224" s="53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3" t="s">
        <v>68</v>
      </c>
      <c r="G225" s="54" t="s">
        <v>71</v>
      </c>
      <c r="H225" s="60"/>
      <c r="I225" s="1" t="s">
        <v>52</v>
      </c>
      <c r="J225" s="60"/>
      <c r="K225" s="54" t="s">
        <v>86</v>
      </c>
      <c r="L225" s="53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3" t="s">
        <v>62</v>
      </c>
      <c r="G226" s="54" t="s">
        <v>84</v>
      </c>
      <c r="H226" s="60"/>
      <c r="I226" s="1" t="s">
        <v>52</v>
      </c>
      <c r="J226" s="60"/>
      <c r="K226" s="54" t="s">
        <v>87</v>
      </c>
      <c r="L226" s="53" t="s">
        <v>88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3" t="s">
        <v>96</v>
      </c>
      <c r="G227" s="54" t="s">
        <v>95</v>
      </c>
      <c r="H227" s="60"/>
      <c r="I227" s="1" t="s">
        <v>52</v>
      </c>
      <c r="J227" s="60"/>
      <c r="K227" s="54" t="s">
        <v>89</v>
      </c>
      <c r="L227" s="53" t="s">
        <v>90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3" t="s">
        <v>61</v>
      </c>
      <c r="G228" s="54" t="s">
        <v>82</v>
      </c>
      <c r="H228" s="60"/>
      <c r="I228" s="1" t="s">
        <v>52</v>
      </c>
      <c r="J228" s="60"/>
      <c r="K228" s="54" t="s">
        <v>93</v>
      </c>
      <c r="L228" s="53" t="s">
        <v>94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3"/>
      <c r="I229" s="3"/>
      <c r="J229" s="63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1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1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1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1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1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1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1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1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2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onça pintanda HD 13</v>
      </c>
      <c r="Y239" s="15">
        <f t="shared" ref="Y239:AG254" si="33">Y3</f>
        <v>22</v>
      </c>
      <c r="Z239" s="15">
        <f t="shared" si="33"/>
        <v>10</v>
      </c>
      <c r="AA239" s="15">
        <f t="shared" si="33"/>
        <v>7</v>
      </c>
      <c r="AB239" s="15">
        <f t="shared" si="33"/>
        <v>1</v>
      </c>
      <c r="AC239" s="15">
        <f t="shared" si="33"/>
        <v>2</v>
      </c>
      <c r="AD239" s="15">
        <f t="shared" si="33"/>
        <v>960.61</v>
      </c>
      <c r="AE239" s="15">
        <f t="shared" si="33"/>
        <v>859.38000000000011</v>
      </c>
      <c r="AF239" s="28">
        <f t="shared" si="33"/>
        <v>101.2299999999999</v>
      </c>
      <c r="AG239" s="25">
        <f t="shared" si="33"/>
        <v>96.061000000000007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JP90</v>
      </c>
      <c r="Y240" s="42">
        <f t="shared" si="33"/>
        <v>21</v>
      </c>
      <c r="Z240" s="42">
        <f t="shared" si="33"/>
        <v>10</v>
      </c>
      <c r="AA240" s="42">
        <f t="shared" si="33"/>
        <v>6</v>
      </c>
      <c r="AB240" s="42">
        <f t="shared" si="33"/>
        <v>3</v>
      </c>
      <c r="AC240" s="42">
        <f t="shared" si="33"/>
        <v>1</v>
      </c>
      <c r="AD240" s="42">
        <f t="shared" si="33"/>
        <v>917.12000000000012</v>
      </c>
      <c r="AE240" s="42">
        <f t="shared" si="33"/>
        <v>815.91000000000008</v>
      </c>
      <c r="AF240" s="29">
        <f t="shared" si="33"/>
        <v>101.21000000000004</v>
      </c>
      <c r="AG240" s="26">
        <f t="shared" si="33"/>
        <v>91.712000000000018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Arsenal PE 87</v>
      </c>
      <c r="Y241" s="42">
        <f t="shared" si="33"/>
        <v>19</v>
      </c>
      <c r="Z241" s="42">
        <f t="shared" si="33"/>
        <v>10</v>
      </c>
      <c r="AA241" s="42">
        <f t="shared" si="33"/>
        <v>6</v>
      </c>
      <c r="AB241" s="42">
        <f t="shared" si="33"/>
        <v>1</v>
      </c>
      <c r="AC241" s="42">
        <f t="shared" si="33"/>
        <v>3</v>
      </c>
      <c r="AD241" s="42">
        <f t="shared" si="33"/>
        <v>922.89</v>
      </c>
      <c r="AE241" s="42">
        <f t="shared" si="33"/>
        <v>835.06999999999994</v>
      </c>
      <c r="AF241" s="29">
        <f t="shared" si="33"/>
        <v>87.82000000000005</v>
      </c>
      <c r="AG241" s="26">
        <f t="shared" si="33"/>
        <v>92.289000000000001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Óia o rato!</v>
      </c>
      <c r="Y242" s="42">
        <f t="shared" si="33"/>
        <v>18</v>
      </c>
      <c r="Z242" s="42">
        <f t="shared" si="33"/>
        <v>10</v>
      </c>
      <c r="AA242" s="42">
        <f t="shared" si="33"/>
        <v>5</v>
      </c>
      <c r="AB242" s="42">
        <f t="shared" si="33"/>
        <v>3</v>
      </c>
      <c r="AC242" s="42">
        <f t="shared" si="33"/>
        <v>2</v>
      </c>
      <c r="AD242" s="42">
        <f t="shared" si="33"/>
        <v>913.56999999999994</v>
      </c>
      <c r="AE242" s="42">
        <f t="shared" si="33"/>
        <v>860.29</v>
      </c>
      <c r="AF242" s="29">
        <f t="shared" si="33"/>
        <v>53.279999999999973</v>
      </c>
      <c r="AG242" s="26">
        <f t="shared" si="33"/>
        <v>91.356999999999999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TEAM CBUM</v>
      </c>
      <c r="Y243" s="42">
        <f t="shared" si="33"/>
        <v>17</v>
      </c>
      <c r="Z243" s="42">
        <f t="shared" si="33"/>
        <v>10</v>
      </c>
      <c r="AA243" s="42">
        <f t="shared" si="33"/>
        <v>5</v>
      </c>
      <c r="AB243" s="42">
        <f t="shared" si="33"/>
        <v>2</v>
      </c>
      <c r="AC243" s="42">
        <f t="shared" si="33"/>
        <v>3</v>
      </c>
      <c r="AD243" s="42">
        <f t="shared" si="33"/>
        <v>887.81</v>
      </c>
      <c r="AE243" s="42">
        <f t="shared" si="33"/>
        <v>830.44</v>
      </c>
      <c r="AF243" s="29">
        <f t="shared" si="33"/>
        <v>57.369999999999891</v>
      </c>
      <c r="AG243" s="26">
        <f t="shared" si="33"/>
        <v>88.780999999999992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Black Up City</v>
      </c>
      <c r="Y244" s="42">
        <f t="shared" si="33"/>
        <v>17</v>
      </c>
      <c r="Z244" s="42">
        <f t="shared" si="33"/>
        <v>10</v>
      </c>
      <c r="AA244" s="42">
        <f t="shared" si="33"/>
        <v>5</v>
      </c>
      <c r="AB244" s="42">
        <f t="shared" si="33"/>
        <v>2</v>
      </c>
      <c r="AC244" s="42">
        <f t="shared" si="33"/>
        <v>3</v>
      </c>
      <c r="AD244" s="42">
        <f t="shared" si="33"/>
        <v>911.5</v>
      </c>
      <c r="AE244" s="42">
        <f t="shared" si="33"/>
        <v>894.81000000000006</v>
      </c>
      <c r="AF244" s="29">
        <f t="shared" si="33"/>
        <v>16.689999999999941</v>
      </c>
      <c r="AG244" s="26">
        <f t="shared" si="33"/>
        <v>91.15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kaio paredão FC 01</v>
      </c>
      <c r="Y245" s="42">
        <f t="shared" si="33"/>
        <v>17</v>
      </c>
      <c r="Z245" s="42">
        <f t="shared" si="33"/>
        <v>10</v>
      </c>
      <c r="AA245" s="42">
        <f t="shared" si="33"/>
        <v>4</v>
      </c>
      <c r="AB245" s="42">
        <f t="shared" si="33"/>
        <v>5</v>
      </c>
      <c r="AC245" s="42">
        <f t="shared" si="33"/>
        <v>1</v>
      </c>
      <c r="AD245" s="42">
        <f t="shared" si="33"/>
        <v>927.3</v>
      </c>
      <c r="AE245" s="42">
        <f t="shared" si="33"/>
        <v>814.05000000000007</v>
      </c>
      <c r="AF245" s="29">
        <f t="shared" si="33"/>
        <v>113.24999999999989</v>
      </c>
      <c r="AG245" s="26">
        <f t="shared" si="33"/>
        <v>92.72999999999999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Bayern 07 J.L 913</v>
      </c>
      <c r="Y246" s="42">
        <f t="shared" si="33"/>
        <v>16</v>
      </c>
      <c r="Z246" s="42">
        <f t="shared" si="33"/>
        <v>10</v>
      </c>
      <c r="AA246" s="42">
        <f t="shared" si="33"/>
        <v>5</v>
      </c>
      <c r="AB246" s="42">
        <f t="shared" si="33"/>
        <v>1</v>
      </c>
      <c r="AC246" s="42">
        <f t="shared" si="33"/>
        <v>4</v>
      </c>
      <c r="AD246" s="42">
        <f t="shared" si="33"/>
        <v>858.06999999999994</v>
      </c>
      <c r="AE246" s="42">
        <f t="shared" si="33"/>
        <v>826.43999999999983</v>
      </c>
      <c r="AF246" s="29">
        <f t="shared" si="33"/>
        <v>31.630000000000109</v>
      </c>
      <c r="AG246" s="26">
        <f t="shared" si="33"/>
        <v>85.806999999999988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DINOO F.C 10</v>
      </c>
      <c r="Y247" s="42">
        <f t="shared" si="33"/>
        <v>16</v>
      </c>
      <c r="Z247" s="42">
        <f t="shared" si="33"/>
        <v>10</v>
      </c>
      <c r="AA247" s="42">
        <f t="shared" si="33"/>
        <v>5</v>
      </c>
      <c r="AB247" s="42">
        <f t="shared" si="33"/>
        <v>1</v>
      </c>
      <c r="AC247" s="42">
        <f t="shared" si="33"/>
        <v>4</v>
      </c>
      <c r="AD247" s="42">
        <f t="shared" si="33"/>
        <v>921.46</v>
      </c>
      <c r="AE247" s="42">
        <f t="shared" si="33"/>
        <v>895.26999999999987</v>
      </c>
      <c r="AF247" s="29">
        <f t="shared" si="33"/>
        <v>26.190000000000168</v>
      </c>
      <c r="AG247" s="26">
        <f t="shared" si="33"/>
        <v>92.146000000000001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Coquinho bebidas</v>
      </c>
      <c r="Y248" s="42">
        <f t="shared" si="33"/>
        <v>16</v>
      </c>
      <c r="Z248" s="42">
        <f t="shared" si="33"/>
        <v>10</v>
      </c>
      <c r="AA248" s="42">
        <f t="shared" si="33"/>
        <v>5</v>
      </c>
      <c r="AB248" s="42">
        <f t="shared" si="33"/>
        <v>1</v>
      </c>
      <c r="AC248" s="42">
        <f t="shared" si="33"/>
        <v>4</v>
      </c>
      <c r="AD248" s="42">
        <f t="shared" si="33"/>
        <v>867.74</v>
      </c>
      <c r="AE248" s="42">
        <f t="shared" si="33"/>
        <v>861.8900000000001</v>
      </c>
      <c r="AF248" s="29">
        <f t="shared" si="33"/>
        <v>5.8499999999999091</v>
      </c>
      <c r="AG248" s="26">
        <f t="shared" si="33"/>
        <v>86.774000000000001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expresso riachense</v>
      </c>
      <c r="Y249" s="42">
        <f t="shared" si="33"/>
        <v>16</v>
      </c>
      <c r="Z249" s="42">
        <f t="shared" si="33"/>
        <v>10</v>
      </c>
      <c r="AA249" s="42">
        <f t="shared" si="33"/>
        <v>4</v>
      </c>
      <c r="AB249" s="42">
        <f t="shared" si="33"/>
        <v>4</v>
      </c>
      <c r="AC249" s="42">
        <f t="shared" si="33"/>
        <v>2</v>
      </c>
      <c r="AD249" s="42">
        <f t="shared" si="33"/>
        <v>907.95</v>
      </c>
      <c r="AE249" s="42">
        <f t="shared" si="33"/>
        <v>856.43999999999994</v>
      </c>
      <c r="AF249" s="29">
        <f t="shared" si="33"/>
        <v>51.510000000000105</v>
      </c>
      <c r="AG249" s="26">
        <f t="shared" si="33"/>
        <v>90.795000000000002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KENNEDY TEAM</v>
      </c>
      <c r="Y250" s="42">
        <f t="shared" si="33"/>
        <v>15</v>
      </c>
      <c r="Z250" s="42">
        <f t="shared" si="33"/>
        <v>10</v>
      </c>
      <c r="AA250" s="42">
        <f t="shared" si="33"/>
        <v>4</v>
      </c>
      <c r="AB250" s="42">
        <f t="shared" si="33"/>
        <v>3</v>
      </c>
      <c r="AC250" s="42">
        <f t="shared" si="33"/>
        <v>3</v>
      </c>
      <c r="AD250" s="42">
        <f t="shared" si="33"/>
        <v>863.98</v>
      </c>
      <c r="AE250" s="42">
        <f t="shared" si="33"/>
        <v>869.77</v>
      </c>
      <c r="AF250" s="29">
        <f t="shared" si="33"/>
        <v>-5.7899999999999636</v>
      </c>
      <c r="AG250" s="26">
        <f t="shared" si="33"/>
        <v>86.397999999999996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Cabugi SC</v>
      </c>
      <c r="Y251" s="42">
        <f t="shared" si="33"/>
        <v>12</v>
      </c>
      <c r="Z251" s="42">
        <f t="shared" si="33"/>
        <v>10</v>
      </c>
      <c r="AA251" s="42">
        <f t="shared" si="33"/>
        <v>4</v>
      </c>
      <c r="AB251" s="42">
        <f t="shared" si="33"/>
        <v>0</v>
      </c>
      <c r="AC251" s="42">
        <f t="shared" si="33"/>
        <v>6</v>
      </c>
      <c r="AD251" s="42">
        <f t="shared" si="33"/>
        <v>840.53</v>
      </c>
      <c r="AE251" s="42">
        <f t="shared" si="33"/>
        <v>870.85</v>
      </c>
      <c r="AF251" s="29">
        <f t="shared" si="33"/>
        <v>-30.32000000000005</v>
      </c>
      <c r="AG251" s="26">
        <f t="shared" si="33"/>
        <v>84.052999999999997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Alison FCC</v>
      </c>
      <c r="Y252" s="42">
        <f t="shared" si="33"/>
        <v>10</v>
      </c>
      <c r="Z252" s="42">
        <f t="shared" si="33"/>
        <v>10</v>
      </c>
      <c r="AA252" s="42">
        <f t="shared" si="33"/>
        <v>3</v>
      </c>
      <c r="AB252" s="42">
        <f t="shared" si="33"/>
        <v>1</v>
      </c>
      <c r="AC252" s="42">
        <f t="shared" si="33"/>
        <v>6</v>
      </c>
      <c r="AD252" s="42">
        <f t="shared" si="33"/>
        <v>829.47</v>
      </c>
      <c r="AE252" s="42">
        <f t="shared" si="33"/>
        <v>899.31000000000006</v>
      </c>
      <c r="AF252" s="29">
        <f t="shared" si="33"/>
        <v>-69.840000000000032</v>
      </c>
      <c r="AG252" s="26">
        <f t="shared" si="33"/>
        <v>82.947000000000003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Águia Dourada 13</v>
      </c>
      <c r="Y253" s="42">
        <f t="shared" si="33"/>
        <v>10</v>
      </c>
      <c r="Z253" s="42">
        <f t="shared" si="33"/>
        <v>10</v>
      </c>
      <c r="AA253" s="42">
        <f t="shared" si="33"/>
        <v>3</v>
      </c>
      <c r="AB253" s="42">
        <f t="shared" si="33"/>
        <v>1</v>
      </c>
      <c r="AC253" s="42">
        <f t="shared" si="33"/>
        <v>6</v>
      </c>
      <c r="AD253" s="42">
        <f t="shared" si="33"/>
        <v>792.64</v>
      </c>
      <c r="AE253" s="42">
        <f t="shared" si="33"/>
        <v>937.68999999999994</v>
      </c>
      <c r="AF253" s="29">
        <f t="shared" si="33"/>
        <v>-145.04999999999995</v>
      </c>
      <c r="AG253" s="26">
        <f t="shared" si="33"/>
        <v>79.263999999999996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Atletico Juventus T.C</v>
      </c>
      <c r="Y254" s="42">
        <f t="shared" si="33"/>
        <v>10</v>
      </c>
      <c r="Z254" s="42">
        <f t="shared" si="33"/>
        <v>10</v>
      </c>
      <c r="AA254" s="42">
        <f t="shared" si="33"/>
        <v>2</v>
      </c>
      <c r="AB254" s="42">
        <f t="shared" si="33"/>
        <v>4</v>
      </c>
      <c r="AC254" s="42">
        <f t="shared" si="33"/>
        <v>4</v>
      </c>
      <c r="AD254" s="42">
        <f t="shared" si="33"/>
        <v>886.98</v>
      </c>
      <c r="AE254" s="42">
        <f t="shared" si="33"/>
        <v>951.3599999999999</v>
      </c>
      <c r="AF254" s="29">
        <f t="shared" si="33"/>
        <v>-64.379999999999882</v>
      </c>
      <c r="AG254" s="26">
        <f t="shared" si="33"/>
        <v>88.698000000000008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Alex Antenas</v>
      </c>
      <c r="Y255" s="44">
        <f t="shared" si="34"/>
        <v>8</v>
      </c>
      <c r="Z255" s="44">
        <f t="shared" si="34"/>
        <v>10</v>
      </c>
      <c r="AA255" s="44">
        <f t="shared" si="34"/>
        <v>2</v>
      </c>
      <c r="AB255" s="44">
        <f t="shared" si="34"/>
        <v>2</v>
      </c>
      <c r="AC255" s="44">
        <f t="shared" si="34"/>
        <v>6</v>
      </c>
      <c r="AD255" s="44">
        <f t="shared" si="34"/>
        <v>859.61999999999989</v>
      </c>
      <c r="AE255" s="44">
        <f t="shared" si="34"/>
        <v>881.36</v>
      </c>
      <c r="AF255" s="30">
        <f t="shared" si="34"/>
        <v>-21.740000000000123</v>
      </c>
      <c r="AG255" s="26">
        <f t="shared" si="34"/>
        <v>85.961999999999989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Brasmanha SC</v>
      </c>
      <c r="Y256" s="44">
        <f t="shared" si="35"/>
        <v>8</v>
      </c>
      <c r="Z256" s="44">
        <f t="shared" si="35"/>
        <v>10</v>
      </c>
      <c r="AA256" s="44">
        <f t="shared" si="35"/>
        <v>2</v>
      </c>
      <c r="AB256" s="44">
        <f t="shared" si="35"/>
        <v>2</v>
      </c>
      <c r="AC256" s="44">
        <f t="shared" si="35"/>
        <v>6</v>
      </c>
      <c r="AD256" s="44">
        <f t="shared" si="35"/>
        <v>846.19</v>
      </c>
      <c r="AE256" s="44">
        <f t="shared" si="35"/>
        <v>917.87999999999988</v>
      </c>
      <c r="AF256" s="30">
        <f t="shared" si="35"/>
        <v>-71.689999999999827</v>
      </c>
      <c r="AG256" s="26">
        <f t="shared" si="35"/>
        <v>84.619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Serra Verde Futebol Club</v>
      </c>
      <c r="Y257" s="44">
        <f t="shared" si="35"/>
        <v>8</v>
      </c>
      <c r="Z257" s="44">
        <f t="shared" si="35"/>
        <v>10</v>
      </c>
      <c r="AA257" s="44">
        <f t="shared" si="35"/>
        <v>1</v>
      </c>
      <c r="AB257" s="44">
        <f t="shared" si="35"/>
        <v>5</v>
      </c>
      <c r="AC257" s="44">
        <f t="shared" si="35"/>
        <v>4</v>
      </c>
      <c r="AD257" s="44">
        <f t="shared" si="35"/>
        <v>863.81999999999994</v>
      </c>
      <c r="AE257" s="44">
        <f t="shared" si="35"/>
        <v>892.86</v>
      </c>
      <c r="AF257" s="30">
        <f t="shared" si="35"/>
        <v>-29.040000000000077</v>
      </c>
      <c r="AG257" s="26">
        <f t="shared" si="35"/>
        <v>86.381999999999991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2</v>
      </c>
      <c r="Z258" s="17">
        <f t="shared" si="35"/>
        <v>10</v>
      </c>
      <c r="AA258" s="17">
        <f t="shared" si="35"/>
        <v>0</v>
      </c>
      <c r="AB258" s="17">
        <f t="shared" si="35"/>
        <v>2</v>
      </c>
      <c r="AC258" s="17">
        <f t="shared" si="35"/>
        <v>8</v>
      </c>
      <c r="AD258" s="17">
        <f t="shared" si="35"/>
        <v>650.21</v>
      </c>
      <c r="AE258" s="17">
        <f t="shared" si="35"/>
        <v>858.39</v>
      </c>
      <c r="AF258" s="31">
        <f t="shared" si="35"/>
        <v>-208.17999999999995</v>
      </c>
      <c r="AG258" s="27">
        <f t="shared" si="35"/>
        <v>65.021000000000001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1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1"/>
      <c r="AH260" s="3"/>
    </row>
    <row r="261" spans="12:44" ht="17.25" customHeight="1" x14ac:dyDescent="0.25">
      <c r="L261" s="66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1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1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1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B14" sqref="B14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3" t="s">
        <v>2</v>
      </c>
      <c r="C1" s="53" t="s">
        <v>85</v>
      </c>
    </row>
    <row r="2" spans="1:9" ht="18.75" x14ac:dyDescent="0.25">
      <c r="A2" s="53" t="s">
        <v>62</v>
      </c>
      <c r="B2" s="54" t="s">
        <v>84</v>
      </c>
      <c r="C2" s="54">
        <v>0</v>
      </c>
    </row>
    <row r="3" spans="1:9" ht="18.75" x14ac:dyDescent="0.3">
      <c r="A3" s="53" t="s">
        <v>61</v>
      </c>
      <c r="B3" s="54" t="s">
        <v>82</v>
      </c>
      <c r="C3" s="54">
        <v>0</v>
      </c>
      <c r="H3" s="55"/>
      <c r="I3" s="56"/>
    </row>
    <row r="4" spans="1:9" ht="18.75" x14ac:dyDescent="0.3">
      <c r="A4" s="53" t="s">
        <v>94</v>
      </c>
      <c r="B4" s="54" t="s">
        <v>93</v>
      </c>
      <c r="C4" s="54">
        <v>0</v>
      </c>
      <c r="H4" s="55"/>
      <c r="I4" s="56"/>
    </row>
    <row r="5" spans="1:9" ht="18.75" x14ac:dyDescent="0.3">
      <c r="A5" s="53" t="s">
        <v>88</v>
      </c>
      <c r="B5" s="54" t="s">
        <v>87</v>
      </c>
      <c r="C5" s="54">
        <v>0</v>
      </c>
      <c r="H5" s="55"/>
      <c r="I5" s="56"/>
    </row>
    <row r="6" spans="1:9" ht="18.75" x14ac:dyDescent="0.3">
      <c r="A6" s="53" t="s">
        <v>79</v>
      </c>
      <c r="B6" s="54" t="s">
        <v>78</v>
      </c>
      <c r="C6" s="54">
        <v>0</v>
      </c>
      <c r="H6" s="55"/>
      <c r="I6" s="56"/>
    </row>
    <row r="7" spans="1:9" ht="18.75" x14ac:dyDescent="0.3">
      <c r="A7" s="53" t="s">
        <v>90</v>
      </c>
      <c r="B7" s="54" t="s">
        <v>89</v>
      </c>
      <c r="C7" s="54">
        <v>0</v>
      </c>
      <c r="H7" s="55"/>
      <c r="I7" s="56"/>
    </row>
    <row r="8" spans="1:9" ht="18.75" x14ac:dyDescent="0.3">
      <c r="A8" s="53" t="s">
        <v>97</v>
      </c>
      <c r="B8" s="54" t="s">
        <v>98</v>
      </c>
      <c r="C8" s="54">
        <v>0</v>
      </c>
      <c r="H8" s="55"/>
      <c r="I8" s="56"/>
    </row>
    <row r="9" spans="1:9" ht="18.75" x14ac:dyDescent="0.3">
      <c r="A9" s="53" t="s">
        <v>70</v>
      </c>
      <c r="B9" s="54" t="s">
        <v>69</v>
      </c>
      <c r="C9" s="54">
        <v>0</v>
      </c>
      <c r="H9" s="55"/>
      <c r="I9" s="56"/>
    </row>
    <row r="10" spans="1:9" ht="18.75" x14ac:dyDescent="0.3">
      <c r="A10" s="53" t="s">
        <v>83</v>
      </c>
      <c r="B10" s="54" t="s">
        <v>64</v>
      </c>
      <c r="C10" s="54">
        <v>0</v>
      </c>
      <c r="H10" s="55"/>
      <c r="I10" s="56"/>
    </row>
    <row r="11" spans="1:9" ht="18.75" x14ac:dyDescent="0.3">
      <c r="A11" s="53" t="s">
        <v>66</v>
      </c>
      <c r="B11" s="54" t="s">
        <v>67</v>
      </c>
      <c r="C11" s="54">
        <v>0</v>
      </c>
      <c r="H11" s="55"/>
      <c r="I11" s="56"/>
    </row>
    <row r="12" spans="1:9" ht="18.75" x14ac:dyDescent="0.3">
      <c r="A12" s="53" t="s">
        <v>65</v>
      </c>
      <c r="B12" s="54" t="s">
        <v>99</v>
      </c>
      <c r="C12" s="54">
        <v>0</v>
      </c>
      <c r="H12" s="55"/>
      <c r="I12" s="56"/>
    </row>
    <row r="13" spans="1:9" ht="18.75" x14ac:dyDescent="0.3">
      <c r="A13" s="53" t="s">
        <v>92</v>
      </c>
      <c r="B13" s="54" t="s">
        <v>91</v>
      </c>
      <c r="C13" s="54">
        <v>0</v>
      </c>
      <c r="H13" s="55"/>
      <c r="I13" s="56"/>
    </row>
    <row r="14" spans="1:9" ht="18.75" x14ac:dyDescent="0.3">
      <c r="A14" s="53" t="s">
        <v>60</v>
      </c>
      <c r="B14" s="54" t="s">
        <v>100</v>
      </c>
      <c r="C14" s="54">
        <v>0</v>
      </c>
      <c r="H14" s="55"/>
      <c r="I14" s="56"/>
    </row>
    <row r="15" spans="1:9" ht="18.75" x14ac:dyDescent="0.3">
      <c r="A15" s="53" t="s">
        <v>68</v>
      </c>
      <c r="B15" s="54" t="s">
        <v>71</v>
      </c>
      <c r="C15" s="54">
        <v>0</v>
      </c>
      <c r="H15" s="55"/>
      <c r="I15" s="56"/>
    </row>
    <row r="16" spans="1:9" ht="18.75" x14ac:dyDescent="0.3">
      <c r="A16" s="53" t="s">
        <v>77</v>
      </c>
      <c r="B16" s="54" t="s">
        <v>76</v>
      </c>
      <c r="C16" s="54">
        <v>0</v>
      </c>
      <c r="H16" s="55"/>
      <c r="I16" s="56"/>
    </row>
    <row r="17" spans="1:9" ht="18.75" x14ac:dyDescent="0.3">
      <c r="A17" s="53" t="s">
        <v>75</v>
      </c>
      <c r="B17" s="54" t="s">
        <v>74</v>
      </c>
      <c r="C17" s="54">
        <v>0</v>
      </c>
      <c r="H17" s="55"/>
      <c r="I17" s="56"/>
    </row>
    <row r="18" spans="1:9" ht="18.75" x14ac:dyDescent="0.3">
      <c r="A18" s="53" t="s">
        <v>63</v>
      </c>
      <c r="B18" s="54" t="s">
        <v>86</v>
      </c>
      <c r="C18" s="54">
        <v>0</v>
      </c>
      <c r="H18" s="55"/>
      <c r="I18" s="56"/>
    </row>
    <row r="19" spans="1:9" ht="18.75" x14ac:dyDescent="0.3">
      <c r="A19" s="53" t="s">
        <v>96</v>
      </c>
      <c r="B19" s="54" t="s">
        <v>95</v>
      </c>
      <c r="C19" s="54">
        <v>0</v>
      </c>
      <c r="H19" s="55"/>
      <c r="I19" s="56"/>
    </row>
    <row r="20" spans="1:9" ht="18.75" x14ac:dyDescent="0.3">
      <c r="A20" s="53" t="s">
        <v>81</v>
      </c>
      <c r="B20" s="54" t="s">
        <v>80</v>
      </c>
      <c r="C20" s="54">
        <v>0</v>
      </c>
      <c r="H20" s="55"/>
      <c r="I20" s="56"/>
    </row>
    <row r="21" spans="1:9" ht="18.75" x14ac:dyDescent="0.3">
      <c r="A21" s="53" t="s">
        <v>72</v>
      </c>
      <c r="B21" s="54" t="s">
        <v>73</v>
      </c>
      <c r="C21" s="54">
        <v>0</v>
      </c>
      <c r="H21" s="55"/>
      <c r="I21" s="56"/>
    </row>
    <row r="22" spans="1:9" ht="18.75" x14ac:dyDescent="0.3">
      <c r="H22" s="55"/>
      <c r="I22" s="56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2026-10-09T14:45:52Z</dcterms:modified>
</cp:coreProperties>
</file>