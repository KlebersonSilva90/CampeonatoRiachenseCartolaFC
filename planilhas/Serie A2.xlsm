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1985C63C-1C2D-41ED-9B9E-5F6923822B07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A228" i="3" s="1"/>
  <c r="B228" i="3" s="1"/>
  <c r="Q227" i="3"/>
  <c r="P227" i="3" s="1"/>
  <c r="O227" i="3"/>
  <c r="N227" i="3"/>
  <c r="D227" i="3"/>
  <c r="C227" i="3"/>
  <c r="Q226" i="3"/>
  <c r="P226" i="3" s="1"/>
  <c r="O226" i="3"/>
  <c r="N226" i="3"/>
  <c r="D226" i="3"/>
  <c r="A226" i="3" s="1"/>
  <c r="B226" i="3" s="1"/>
  <c r="C226" i="3"/>
  <c r="Q225" i="3"/>
  <c r="P225" i="3" s="1"/>
  <c r="O225" i="3"/>
  <c r="N225" i="3"/>
  <c r="D225" i="3"/>
  <c r="C225" i="3"/>
  <c r="A225" i="3"/>
  <c r="B225" i="3" s="1"/>
  <c r="Q224" i="3"/>
  <c r="P224" i="3" s="1"/>
  <c r="O224" i="3"/>
  <c r="N224" i="3"/>
  <c r="D224" i="3"/>
  <c r="C224" i="3"/>
  <c r="A224" i="3" s="1"/>
  <c r="B224" i="3" s="1"/>
  <c r="Q223" i="3"/>
  <c r="P223" i="3" s="1"/>
  <c r="O223" i="3"/>
  <c r="N223" i="3"/>
  <c r="D223" i="3"/>
  <c r="C223" i="3"/>
  <c r="Q222" i="3"/>
  <c r="P222" i="3" s="1"/>
  <c r="O222" i="3"/>
  <c r="N222" i="3"/>
  <c r="D222" i="3"/>
  <c r="A222" i="3" s="1"/>
  <c r="B222" i="3" s="1"/>
  <c r="C222" i="3"/>
  <c r="Q221" i="3"/>
  <c r="P221" i="3"/>
  <c r="O221" i="3"/>
  <c r="N221" i="3"/>
  <c r="D221" i="3"/>
  <c r="C221" i="3"/>
  <c r="A221" i="3" s="1"/>
  <c r="B221" i="3" s="1"/>
  <c r="Q220" i="3"/>
  <c r="P220" i="3" s="1"/>
  <c r="O220" i="3"/>
  <c r="N220" i="3"/>
  <c r="D220" i="3"/>
  <c r="C220" i="3"/>
  <c r="A220" i="3"/>
  <c r="B220" i="3" s="1"/>
  <c r="Q219" i="3"/>
  <c r="P219" i="3" s="1"/>
  <c r="O219" i="3"/>
  <c r="N219" i="3"/>
  <c r="D219" i="3"/>
  <c r="A219" i="3" s="1"/>
  <c r="B219" i="3" s="1"/>
  <c r="C219" i="3"/>
  <c r="Q216" i="3"/>
  <c r="P216" i="3" s="1"/>
  <c r="O216" i="3"/>
  <c r="N216" i="3"/>
  <c r="D216" i="3"/>
  <c r="A216" i="3" s="1"/>
  <c r="B216" i="3" s="1"/>
  <c r="C216" i="3"/>
  <c r="Q215" i="3"/>
  <c r="P215" i="3" s="1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 s="1"/>
  <c r="B214" i="3" s="1"/>
  <c r="Q213" i="3"/>
  <c r="P213" i="3" s="1"/>
  <c r="O213" i="3"/>
  <c r="N213" i="3"/>
  <c r="D213" i="3"/>
  <c r="A213" i="3" s="1"/>
  <c r="B213" i="3" s="1"/>
  <c r="C213" i="3"/>
  <c r="Q212" i="3"/>
  <c r="P212" i="3" s="1"/>
  <c r="O212" i="3"/>
  <c r="N212" i="3"/>
  <c r="D212" i="3"/>
  <c r="A212" i="3" s="1"/>
  <c r="B212" i="3" s="1"/>
  <c r="C212" i="3"/>
  <c r="Q211" i="3"/>
  <c r="P211" i="3" s="1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 s="1"/>
  <c r="O209" i="3"/>
  <c r="N209" i="3"/>
  <c r="D209" i="3"/>
  <c r="A209" i="3" s="1"/>
  <c r="B209" i="3" s="1"/>
  <c r="C209" i="3"/>
  <c r="Q208" i="3"/>
  <c r="P208" i="3" s="1"/>
  <c r="O208" i="3"/>
  <c r="N208" i="3"/>
  <c r="D208" i="3"/>
  <c r="A208" i="3" s="1"/>
  <c r="B208" i="3" s="1"/>
  <c r="C208" i="3"/>
  <c r="Q207" i="3"/>
  <c r="P207" i="3" s="1"/>
  <c r="O207" i="3"/>
  <c r="N207" i="3"/>
  <c r="D207" i="3"/>
  <c r="C207" i="3"/>
  <c r="A207" i="3" s="1"/>
  <c r="B207" i="3" s="1"/>
  <c r="Q204" i="3"/>
  <c r="P204" i="3"/>
  <c r="O204" i="3"/>
  <c r="N204" i="3"/>
  <c r="D204" i="3"/>
  <c r="C204" i="3"/>
  <c r="A204" i="3" s="1"/>
  <c r="B204" i="3" s="1"/>
  <c r="Q203" i="3"/>
  <c r="P203" i="3" s="1"/>
  <c r="O203" i="3"/>
  <c r="N203" i="3"/>
  <c r="D203" i="3"/>
  <c r="C203" i="3"/>
  <c r="Q202" i="3"/>
  <c r="P202" i="3"/>
  <c r="O202" i="3"/>
  <c r="N202" i="3"/>
  <c r="D202" i="3"/>
  <c r="C202" i="3"/>
  <c r="Q201" i="3"/>
  <c r="P201" i="3"/>
  <c r="O201" i="3"/>
  <c r="N201" i="3"/>
  <c r="D201" i="3"/>
  <c r="C201" i="3"/>
  <c r="A201" i="3" s="1"/>
  <c r="B201" i="3" s="1"/>
  <c r="Q200" i="3"/>
  <c r="P200" i="3" s="1"/>
  <c r="O200" i="3"/>
  <c r="N200" i="3"/>
  <c r="D200" i="3"/>
  <c r="C200" i="3"/>
  <c r="A200" i="3"/>
  <c r="B200" i="3" s="1"/>
  <c r="Q199" i="3"/>
  <c r="P199" i="3" s="1"/>
  <c r="O199" i="3"/>
  <c r="N199" i="3"/>
  <c r="D199" i="3"/>
  <c r="A199" i="3" s="1"/>
  <c r="B199" i="3" s="1"/>
  <c r="C199" i="3"/>
  <c r="Q198" i="3"/>
  <c r="P198" i="3" s="1"/>
  <c r="O198" i="3"/>
  <c r="N198" i="3"/>
  <c r="D198" i="3"/>
  <c r="A198" i="3" s="1"/>
  <c r="B198" i="3" s="1"/>
  <c r="C198" i="3"/>
  <c r="Q197" i="3"/>
  <c r="P197" i="3" s="1"/>
  <c r="O197" i="3"/>
  <c r="N197" i="3"/>
  <c r="D197" i="3"/>
  <c r="C197" i="3"/>
  <c r="A197" i="3"/>
  <c r="B197" i="3" s="1"/>
  <c r="Q196" i="3"/>
  <c r="P196" i="3"/>
  <c r="O196" i="3"/>
  <c r="N196" i="3"/>
  <c r="D196" i="3"/>
  <c r="C196" i="3"/>
  <c r="A196" i="3" s="1"/>
  <c r="B196" i="3" s="1"/>
  <c r="Q195" i="3"/>
  <c r="P195" i="3" s="1"/>
  <c r="O195" i="3"/>
  <c r="N195" i="3"/>
  <c r="D195" i="3"/>
  <c r="C195" i="3"/>
  <c r="Q192" i="3"/>
  <c r="P192" i="3" s="1"/>
  <c r="O192" i="3"/>
  <c r="N192" i="3"/>
  <c r="D192" i="3"/>
  <c r="A192" i="3" s="1"/>
  <c r="B192" i="3" s="1"/>
  <c r="C192" i="3"/>
  <c r="Q191" i="3"/>
  <c r="P191" i="3" s="1"/>
  <c r="O191" i="3"/>
  <c r="N191" i="3"/>
  <c r="D191" i="3"/>
  <c r="C191" i="3"/>
  <c r="A191" i="3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Q188" i="3"/>
  <c r="P188" i="3" s="1"/>
  <c r="O188" i="3"/>
  <c r="N188" i="3"/>
  <c r="D188" i="3"/>
  <c r="A188" i="3" s="1"/>
  <c r="B188" i="3" s="1"/>
  <c r="C188" i="3"/>
  <c r="Q187" i="3"/>
  <c r="P187" i="3" s="1"/>
  <c r="O187" i="3"/>
  <c r="N187" i="3"/>
  <c r="D187" i="3"/>
  <c r="A187" i="3" s="1"/>
  <c r="B187" i="3" s="1"/>
  <c r="C187" i="3"/>
  <c r="Q186" i="3"/>
  <c r="P186" i="3" s="1"/>
  <c r="O186" i="3"/>
  <c r="N186" i="3"/>
  <c r="D186" i="3"/>
  <c r="A186" i="3" s="1"/>
  <c r="B186" i="3" s="1"/>
  <c r="C186" i="3"/>
  <c r="Q185" i="3"/>
  <c r="P185" i="3"/>
  <c r="O185" i="3"/>
  <c r="N185" i="3"/>
  <c r="D185" i="3"/>
  <c r="C185" i="3"/>
  <c r="Q184" i="3"/>
  <c r="P184" i="3" s="1"/>
  <c r="O184" i="3"/>
  <c r="N184" i="3"/>
  <c r="D184" i="3"/>
  <c r="A184" i="3" s="1"/>
  <c r="B184" i="3" s="1"/>
  <c r="C184" i="3"/>
  <c r="Q183" i="3"/>
  <c r="P183" i="3" s="1"/>
  <c r="O183" i="3"/>
  <c r="N183" i="3"/>
  <c r="D183" i="3"/>
  <c r="A183" i="3" s="1"/>
  <c r="B183" i="3" s="1"/>
  <c r="C183" i="3"/>
  <c r="Q180" i="3"/>
  <c r="P180" i="3" s="1"/>
  <c r="O180" i="3"/>
  <c r="N180" i="3"/>
  <c r="D180" i="3"/>
  <c r="A180" i="3" s="1"/>
  <c r="C180" i="3"/>
  <c r="B180" i="3"/>
  <c r="Q179" i="3"/>
  <c r="P179" i="3"/>
  <c r="O179" i="3"/>
  <c r="N179" i="3"/>
  <c r="D179" i="3"/>
  <c r="C179" i="3"/>
  <c r="Q178" i="3"/>
  <c r="P178" i="3" s="1"/>
  <c r="O178" i="3"/>
  <c r="N178" i="3"/>
  <c r="D178" i="3"/>
  <c r="A178" i="3" s="1"/>
  <c r="B178" i="3" s="1"/>
  <c r="C178" i="3"/>
  <c r="Q177" i="3"/>
  <c r="P177" i="3" s="1"/>
  <c r="O177" i="3"/>
  <c r="N177" i="3"/>
  <c r="D177" i="3"/>
  <c r="A177" i="3" s="1"/>
  <c r="B177" i="3" s="1"/>
  <c r="C177" i="3"/>
  <c r="Q176" i="3"/>
  <c r="P176" i="3" s="1"/>
  <c r="O176" i="3"/>
  <c r="N176" i="3"/>
  <c r="D176" i="3"/>
  <c r="A176" i="3" s="1"/>
  <c r="B176" i="3" s="1"/>
  <c r="C176" i="3"/>
  <c r="Q175" i="3"/>
  <c r="P175" i="3"/>
  <c r="O175" i="3"/>
  <c r="N175" i="3"/>
  <c r="D175" i="3"/>
  <c r="C175" i="3"/>
  <c r="Q174" i="3"/>
  <c r="P174" i="3" s="1"/>
  <c r="O174" i="3"/>
  <c r="N174" i="3"/>
  <c r="D174" i="3"/>
  <c r="A174" i="3" s="1"/>
  <c r="B174" i="3" s="1"/>
  <c r="C174" i="3"/>
  <c r="Q173" i="3"/>
  <c r="P173" i="3" s="1"/>
  <c r="O173" i="3"/>
  <c r="N173" i="3"/>
  <c r="D173" i="3"/>
  <c r="A173" i="3" s="1"/>
  <c r="B173" i="3" s="1"/>
  <c r="C173" i="3"/>
  <c r="Q172" i="3"/>
  <c r="P172" i="3" s="1"/>
  <c r="O172" i="3"/>
  <c r="N172" i="3"/>
  <c r="D172" i="3"/>
  <c r="A172" i="3" s="1"/>
  <c r="C172" i="3"/>
  <c r="B172" i="3"/>
  <c r="Q171" i="3"/>
  <c r="P171" i="3"/>
  <c r="O171" i="3"/>
  <c r="N171" i="3"/>
  <c r="D171" i="3"/>
  <c r="C171" i="3"/>
  <c r="Q168" i="3"/>
  <c r="P168" i="3" s="1"/>
  <c r="O168" i="3"/>
  <c r="N168" i="3"/>
  <c r="D168" i="3"/>
  <c r="A168" i="3" s="1"/>
  <c r="B168" i="3" s="1"/>
  <c r="C168" i="3"/>
  <c r="Q167" i="3"/>
  <c r="P167" i="3" s="1"/>
  <c r="O167" i="3"/>
  <c r="N167" i="3"/>
  <c r="D167" i="3"/>
  <c r="A167" i="3" s="1"/>
  <c r="B167" i="3" s="1"/>
  <c r="C167" i="3"/>
  <c r="Q166" i="3"/>
  <c r="P166" i="3" s="1"/>
  <c r="O166" i="3"/>
  <c r="N166" i="3"/>
  <c r="D166" i="3"/>
  <c r="A166" i="3" s="1"/>
  <c r="B166" i="3" s="1"/>
  <c r="C166" i="3"/>
  <c r="Q165" i="3"/>
  <c r="P165" i="3"/>
  <c r="O165" i="3"/>
  <c r="N165" i="3"/>
  <c r="D165" i="3"/>
  <c r="C165" i="3"/>
  <c r="Q164" i="3"/>
  <c r="P164" i="3" s="1"/>
  <c r="O164" i="3"/>
  <c r="N164" i="3"/>
  <c r="D164" i="3"/>
  <c r="C164" i="3"/>
  <c r="Q163" i="3"/>
  <c r="P163" i="3"/>
  <c r="O163" i="3"/>
  <c r="N163" i="3"/>
  <c r="D163" i="3"/>
  <c r="C163" i="3"/>
  <c r="Q162" i="3"/>
  <c r="P162" i="3"/>
  <c r="O162" i="3"/>
  <c r="N162" i="3"/>
  <c r="D162" i="3"/>
  <c r="C162" i="3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Q159" i="3"/>
  <c r="P159" i="3"/>
  <c r="O159" i="3"/>
  <c r="N159" i="3"/>
  <c r="D159" i="3"/>
  <c r="C159" i="3"/>
  <c r="Q156" i="3"/>
  <c r="P156" i="3"/>
  <c r="O156" i="3"/>
  <c r="N156" i="3"/>
  <c r="D156" i="3"/>
  <c r="C156" i="3"/>
  <c r="Q155" i="3"/>
  <c r="P155" i="3" s="1"/>
  <c r="O155" i="3"/>
  <c r="N155" i="3"/>
  <c r="D155" i="3"/>
  <c r="C155" i="3"/>
  <c r="Q154" i="3"/>
  <c r="P154" i="3" s="1"/>
  <c r="O154" i="3"/>
  <c r="N154" i="3"/>
  <c r="D154" i="3"/>
  <c r="C154" i="3"/>
  <c r="Q153" i="3"/>
  <c r="P153" i="3"/>
  <c r="O153" i="3"/>
  <c r="N153" i="3"/>
  <c r="D153" i="3"/>
  <c r="C153" i="3"/>
  <c r="Q152" i="3"/>
  <c r="P152" i="3"/>
  <c r="O152" i="3"/>
  <c r="N152" i="3"/>
  <c r="D152" i="3"/>
  <c r="C152" i="3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Q149" i="3"/>
  <c r="P149" i="3"/>
  <c r="O149" i="3"/>
  <c r="N149" i="3"/>
  <c r="D149" i="3"/>
  <c r="C149" i="3"/>
  <c r="Q148" i="3"/>
  <c r="P148" i="3"/>
  <c r="O148" i="3"/>
  <c r="N148" i="3"/>
  <c r="D148" i="3"/>
  <c r="C148" i="3"/>
  <c r="Q147" i="3"/>
  <c r="P147" i="3" s="1"/>
  <c r="O147" i="3"/>
  <c r="N147" i="3"/>
  <c r="D147" i="3"/>
  <c r="C147" i="3"/>
  <c r="Q144" i="3"/>
  <c r="P144" i="3" s="1"/>
  <c r="O144" i="3"/>
  <c r="N144" i="3"/>
  <c r="D144" i="3"/>
  <c r="C144" i="3"/>
  <c r="Q143" i="3"/>
  <c r="P143" i="3"/>
  <c r="O143" i="3"/>
  <c r="N143" i="3"/>
  <c r="D143" i="3"/>
  <c r="C143" i="3"/>
  <c r="Q142" i="3"/>
  <c r="P142" i="3"/>
  <c r="O142" i="3"/>
  <c r="N142" i="3"/>
  <c r="D142" i="3"/>
  <c r="C142" i="3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Q139" i="3"/>
  <c r="P139" i="3"/>
  <c r="O139" i="3"/>
  <c r="N139" i="3"/>
  <c r="D139" i="3"/>
  <c r="C139" i="3"/>
  <c r="Q138" i="3"/>
  <c r="P138" i="3"/>
  <c r="O138" i="3"/>
  <c r="N138" i="3"/>
  <c r="D138" i="3"/>
  <c r="C138" i="3"/>
  <c r="Q137" i="3"/>
  <c r="P137" i="3" s="1"/>
  <c r="O137" i="3"/>
  <c r="N137" i="3"/>
  <c r="D137" i="3"/>
  <c r="C137" i="3"/>
  <c r="Q136" i="3"/>
  <c r="P136" i="3"/>
  <c r="O136" i="3"/>
  <c r="N136" i="3"/>
  <c r="D136" i="3"/>
  <c r="C136" i="3"/>
  <c r="A136" i="3" s="1"/>
  <c r="B136" i="3" s="1"/>
  <c r="Q135" i="3"/>
  <c r="P135" i="3" s="1"/>
  <c r="O135" i="3"/>
  <c r="N135" i="3"/>
  <c r="D135" i="3"/>
  <c r="C135" i="3"/>
  <c r="Q132" i="3"/>
  <c r="P132" i="3" s="1"/>
  <c r="O132" i="3"/>
  <c r="N132" i="3"/>
  <c r="D132" i="3"/>
  <c r="C132" i="3"/>
  <c r="Q131" i="3"/>
  <c r="P131" i="3" s="1"/>
  <c r="O131" i="3"/>
  <c r="N131" i="3"/>
  <c r="D131" i="3"/>
  <c r="C131" i="3"/>
  <c r="Q130" i="3"/>
  <c r="P130" i="3" s="1"/>
  <c r="O130" i="3"/>
  <c r="N130" i="3"/>
  <c r="D130" i="3"/>
  <c r="C130" i="3"/>
  <c r="Q129" i="3"/>
  <c r="P129" i="3"/>
  <c r="O129" i="3"/>
  <c r="N129" i="3"/>
  <c r="D129" i="3"/>
  <c r="C129" i="3"/>
  <c r="A129" i="3" s="1"/>
  <c r="B129" i="3" s="1"/>
  <c r="Q128" i="3"/>
  <c r="P128" i="3" s="1"/>
  <c r="O128" i="3"/>
  <c r="N128" i="3"/>
  <c r="D128" i="3"/>
  <c r="C128" i="3"/>
  <c r="Q127" i="3"/>
  <c r="P127" i="3" s="1"/>
  <c r="O127" i="3"/>
  <c r="N127" i="3"/>
  <c r="D127" i="3"/>
  <c r="C127" i="3"/>
  <c r="Q126" i="3"/>
  <c r="P126" i="3"/>
  <c r="O126" i="3"/>
  <c r="N126" i="3"/>
  <c r="D126" i="3"/>
  <c r="C126" i="3"/>
  <c r="A126" i="3" s="1"/>
  <c r="B126" i="3" s="1"/>
  <c r="Q125" i="3"/>
  <c r="P125" i="3" s="1"/>
  <c r="O125" i="3"/>
  <c r="N125" i="3"/>
  <c r="D125" i="3"/>
  <c r="C125" i="3"/>
  <c r="Q124" i="3"/>
  <c r="P124" i="3" s="1"/>
  <c r="O124" i="3"/>
  <c r="N124" i="3"/>
  <c r="D124" i="3"/>
  <c r="C124" i="3"/>
  <c r="Q123" i="3"/>
  <c r="P123" i="3" s="1"/>
  <c r="O123" i="3"/>
  <c r="N123" i="3"/>
  <c r="D123" i="3"/>
  <c r="C123" i="3"/>
  <c r="Q120" i="3"/>
  <c r="P120" i="3" s="1"/>
  <c r="O120" i="3"/>
  <c r="N120" i="3"/>
  <c r="D120" i="3"/>
  <c r="C120" i="3"/>
  <c r="Q119" i="3"/>
  <c r="P119" i="3"/>
  <c r="O119" i="3"/>
  <c r="N119" i="3"/>
  <c r="D119" i="3"/>
  <c r="C119" i="3"/>
  <c r="A119" i="3" s="1"/>
  <c r="B119" i="3" s="1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Q116" i="3"/>
  <c r="P116" i="3"/>
  <c r="O116" i="3"/>
  <c r="N116" i="3"/>
  <c r="D116" i="3"/>
  <c r="C116" i="3"/>
  <c r="A116" i="3" s="1"/>
  <c r="B116" i="3" s="1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Q113" i="3"/>
  <c r="P113" i="3" s="1"/>
  <c r="O113" i="3"/>
  <c r="N113" i="3"/>
  <c r="D113" i="3"/>
  <c r="C113" i="3"/>
  <c r="Q112" i="3"/>
  <c r="P112" i="3" s="1"/>
  <c r="O112" i="3"/>
  <c r="N112" i="3"/>
  <c r="D112" i="3"/>
  <c r="C112" i="3"/>
  <c r="Q111" i="3"/>
  <c r="P111" i="3"/>
  <c r="O111" i="3"/>
  <c r="N111" i="3"/>
  <c r="D111" i="3"/>
  <c r="C111" i="3"/>
  <c r="A111" i="3" s="1"/>
  <c r="B111" i="3" s="1"/>
  <c r="Q108" i="3"/>
  <c r="P108" i="3" s="1"/>
  <c r="O108" i="3"/>
  <c r="N108" i="3"/>
  <c r="D108" i="3"/>
  <c r="C108" i="3"/>
  <c r="A108" i="3" s="1"/>
  <c r="B108" i="3" s="1"/>
  <c r="Q107" i="3"/>
  <c r="P107" i="3" s="1"/>
  <c r="O107" i="3"/>
  <c r="N107" i="3"/>
  <c r="D107" i="3"/>
  <c r="C107" i="3"/>
  <c r="A107" i="3" s="1"/>
  <c r="B107" i="3" s="1"/>
  <c r="Q106" i="3"/>
  <c r="P106" i="3" s="1"/>
  <c r="O106" i="3"/>
  <c r="N106" i="3"/>
  <c r="D106" i="3"/>
  <c r="C106" i="3"/>
  <c r="Q105" i="3"/>
  <c r="P105" i="3"/>
  <c r="O105" i="3"/>
  <c r="N105" i="3"/>
  <c r="D105" i="3"/>
  <c r="C105" i="3"/>
  <c r="A105" i="3" s="1"/>
  <c r="B105" i="3" s="1"/>
  <c r="Q104" i="3"/>
  <c r="P104" i="3" s="1"/>
  <c r="O104" i="3"/>
  <c r="N104" i="3"/>
  <c r="D104" i="3"/>
  <c r="C104" i="3"/>
  <c r="Q103" i="3"/>
  <c r="P103" i="3" s="1"/>
  <c r="O103" i="3"/>
  <c r="N103" i="3"/>
  <c r="D103" i="3"/>
  <c r="C103" i="3"/>
  <c r="Q102" i="3"/>
  <c r="P102" i="3"/>
  <c r="O102" i="3"/>
  <c r="N102" i="3"/>
  <c r="D102" i="3"/>
  <c r="C102" i="3"/>
  <c r="A102" i="3" s="1"/>
  <c r="B102" i="3" s="1"/>
  <c r="Q101" i="3"/>
  <c r="P101" i="3" s="1"/>
  <c r="O101" i="3"/>
  <c r="N101" i="3"/>
  <c r="D101" i="3"/>
  <c r="C101" i="3"/>
  <c r="Q100" i="3"/>
  <c r="P100" i="3" s="1"/>
  <c r="O100" i="3"/>
  <c r="N100" i="3"/>
  <c r="D100" i="3"/>
  <c r="C100" i="3"/>
  <c r="Q99" i="3"/>
  <c r="P99" i="3"/>
  <c r="O99" i="3"/>
  <c r="N99" i="3"/>
  <c r="D99" i="3"/>
  <c r="C99" i="3"/>
  <c r="A99" i="3" s="1"/>
  <c r="B99" i="3" s="1"/>
  <c r="Q96" i="3"/>
  <c r="P96" i="3" s="1"/>
  <c r="O96" i="3"/>
  <c r="N96" i="3"/>
  <c r="D96" i="3"/>
  <c r="C96" i="3"/>
  <c r="Q95" i="3"/>
  <c r="P95" i="3"/>
  <c r="O95" i="3"/>
  <c r="N95" i="3"/>
  <c r="D95" i="3"/>
  <c r="C95" i="3"/>
  <c r="A95" i="3" s="1"/>
  <c r="B95" i="3" s="1"/>
  <c r="Q94" i="3"/>
  <c r="P94" i="3"/>
  <c r="O94" i="3"/>
  <c r="N94" i="3"/>
  <c r="D94" i="3"/>
  <c r="C94" i="3"/>
  <c r="A94" i="3" s="1"/>
  <c r="B94" i="3" s="1"/>
  <c r="Q93" i="3"/>
  <c r="P93" i="3" s="1"/>
  <c r="O93" i="3"/>
  <c r="N93" i="3"/>
  <c r="D93" i="3"/>
  <c r="C93" i="3"/>
  <c r="Q92" i="3"/>
  <c r="P92" i="3" s="1"/>
  <c r="O92" i="3"/>
  <c r="N92" i="3"/>
  <c r="D92" i="3"/>
  <c r="C92" i="3"/>
  <c r="A92" i="3" s="1"/>
  <c r="B92" i="3" s="1"/>
  <c r="Q91" i="3"/>
  <c r="P91" i="3" s="1"/>
  <c r="O91" i="3"/>
  <c r="N91" i="3"/>
  <c r="D91" i="3"/>
  <c r="C91" i="3"/>
  <c r="A91" i="3" s="1"/>
  <c r="B91" i="3"/>
  <c r="Q90" i="3"/>
  <c r="P90" i="3" s="1"/>
  <c r="O90" i="3"/>
  <c r="N90" i="3"/>
  <c r="D90" i="3"/>
  <c r="C90" i="3"/>
  <c r="Q89" i="3"/>
  <c r="P89" i="3" s="1"/>
  <c r="O89" i="3"/>
  <c r="N89" i="3"/>
  <c r="D89" i="3"/>
  <c r="C89" i="3"/>
  <c r="A89" i="3" s="1"/>
  <c r="B89" i="3" s="1"/>
  <c r="Q88" i="3"/>
  <c r="P88" i="3" s="1"/>
  <c r="O88" i="3"/>
  <c r="N88" i="3"/>
  <c r="D88" i="3"/>
  <c r="C88" i="3"/>
  <c r="A88" i="3" s="1"/>
  <c r="B88" i="3"/>
  <c r="Q87" i="3"/>
  <c r="P87" i="3" s="1"/>
  <c r="O87" i="3"/>
  <c r="N87" i="3"/>
  <c r="D87" i="3"/>
  <c r="C87" i="3"/>
  <c r="Q84" i="3"/>
  <c r="P84" i="3" s="1"/>
  <c r="O84" i="3"/>
  <c r="N84" i="3"/>
  <c r="D84" i="3"/>
  <c r="C84" i="3"/>
  <c r="Q83" i="3"/>
  <c r="P83" i="3"/>
  <c r="O83" i="3"/>
  <c r="N83" i="3"/>
  <c r="D83" i="3"/>
  <c r="C83" i="3"/>
  <c r="A83" i="3" s="1"/>
  <c r="B83" i="3" s="1"/>
  <c r="Q82" i="3"/>
  <c r="P82" i="3" s="1"/>
  <c r="O82" i="3"/>
  <c r="N82" i="3"/>
  <c r="D82" i="3"/>
  <c r="C82" i="3"/>
  <c r="Q81" i="3"/>
  <c r="P81" i="3" s="1"/>
  <c r="O81" i="3"/>
  <c r="N81" i="3"/>
  <c r="D81" i="3"/>
  <c r="C81" i="3"/>
  <c r="Q80" i="3"/>
  <c r="P80" i="3" s="1"/>
  <c r="O80" i="3"/>
  <c r="N80" i="3"/>
  <c r="D80" i="3"/>
  <c r="C80" i="3"/>
  <c r="A80" i="3" s="1"/>
  <c r="B80" i="3" s="1"/>
  <c r="Q79" i="3"/>
  <c r="P79" i="3" s="1"/>
  <c r="O79" i="3"/>
  <c r="N79" i="3"/>
  <c r="D79" i="3"/>
  <c r="C79" i="3"/>
  <c r="Q78" i="3"/>
  <c r="P78" i="3" s="1"/>
  <c r="O78" i="3"/>
  <c r="N78" i="3"/>
  <c r="D78" i="3"/>
  <c r="C78" i="3"/>
  <c r="Q77" i="3"/>
  <c r="P77" i="3" s="1"/>
  <c r="O77" i="3"/>
  <c r="N77" i="3"/>
  <c r="D77" i="3"/>
  <c r="C77" i="3"/>
  <c r="A77" i="3" s="1"/>
  <c r="B77" i="3" s="1"/>
  <c r="Q76" i="3"/>
  <c r="P76" i="3" s="1"/>
  <c r="O76" i="3"/>
  <c r="N76" i="3"/>
  <c r="D76" i="3"/>
  <c r="C76" i="3"/>
  <c r="A76" i="3" s="1"/>
  <c r="B76" i="3" s="1"/>
  <c r="Q75" i="3"/>
  <c r="P75" i="3" s="1"/>
  <c r="O75" i="3"/>
  <c r="N75" i="3"/>
  <c r="D75" i="3"/>
  <c r="C75" i="3"/>
  <c r="Q72" i="3"/>
  <c r="P72" i="3"/>
  <c r="O72" i="3"/>
  <c r="N72" i="3"/>
  <c r="D72" i="3"/>
  <c r="C72" i="3"/>
  <c r="A72" i="3" s="1"/>
  <c r="B72" i="3" s="1"/>
  <c r="Q71" i="3"/>
  <c r="P71" i="3"/>
  <c r="O71" i="3"/>
  <c r="N71" i="3"/>
  <c r="D71" i="3"/>
  <c r="C71" i="3"/>
  <c r="A71" i="3" s="1"/>
  <c r="B71" i="3" s="1"/>
  <c r="Q70" i="3"/>
  <c r="P70" i="3" s="1"/>
  <c r="O70" i="3"/>
  <c r="N70" i="3"/>
  <c r="D70" i="3"/>
  <c r="C70" i="3"/>
  <c r="Q69" i="3"/>
  <c r="P69" i="3"/>
  <c r="O69" i="3"/>
  <c r="N69" i="3"/>
  <c r="D69" i="3"/>
  <c r="C69" i="3"/>
  <c r="A69" i="3" s="1"/>
  <c r="B69" i="3" s="1"/>
  <c r="Q68" i="3"/>
  <c r="P68" i="3"/>
  <c r="O68" i="3"/>
  <c r="N68" i="3"/>
  <c r="D68" i="3"/>
  <c r="C68" i="3"/>
  <c r="A68" i="3" s="1"/>
  <c r="B68" i="3" s="1"/>
  <c r="Q67" i="3"/>
  <c r="P67" i="3" s="1"/>
  <c r="O67" i="3"/>
  <c r="N67" i="3"/>
  <c r="D67" i="3"/>
  <c r="C67" i="3"/>
  <c r="Q66" i="3"/>
  <c r="P66" i="3" s="1"/>
  <c r="O66" i="3"/>
  <c r="N66" i="3"/>
  <c r="D66" i="3"/>
  <c r="C66" i="3"/>
  <c r="Q65" i="3"/>
  <c r="P65" i="3" s="1"/>
  <c r="O65" i="3"/>
  <c r="N65" i="3"/>
  <c r="D65" i="3"/>
  <c r="C65" i="3"/>
  <c r="A65" i="3" s="1"/>
  <c r="B65" i="3"/>
  <c r="Q64" i="3"/>
  <c r="P64" i="3" s="1"/>
  <c r="O64" i="3"/>
  <c r="N64" i="3"/>
  <c r="D64" i="3"/>
  <c r="C64" i="3"/>
  <c r="Q63" i="3"/>
  <c r="P63" i="3" s="1"/>
  <c r="O63" i="3"/>
  <c r="N63" i="3"/>
  <c r="D63" i="3"/>
  <c r="C63" i="3"/>
  <c r="Q60" i="3"/>
  <c r="P60" i="3" s="1"/>
  <c r="O60" i="3"/>
  <c r="N60" i="3"/>
  <c r="D60" i="3"/>
  <c r="C60" i="3"/>
  <c r="Q59" i="3"/>
  <c r="P59" i="3" s="1"/>
  <c r="O59" i="3"/>
  <c r="N59" i="3"/>
  <c r="D59" i="3"/>
  <c r="C59" i="3"/>
  <c r="Q58" i="3"/>
  <c r="P58" i="3" s="1"/>
  <c r="O58" i="3"/>
  <c r="N58" i="3"/>
  <c r="D58" i="3"/>
  <c r="C58" i="3"/>
  <c r="Q57" i="3"/>
  <c r="P57" i="3" s="1"/>
  <c r="O57" i="3"/>
  <c r="N57" i="3"/>
  <c r="D57" i="3"/>
  <c r="C57" i="3"/>
  <c r="Q56" i="3"/>
  <c r="P56" i="3"/>
  <c r="O56" i="3"/>
  <c r="N56" i="3"/>
  <c r="D56" i="3"/>
  <c r="C56" i="3"/>
  <c r="A56" i="3" s="1"/>
  <c r="B56" i="3" s="1"/>
  <c r="Q55" i="3"/>
  <c r="P55" i="3" s="1"/>
  <c r="O55" i="3"/>
  <c r="N55" i="3"/>
  <c r="D55" i="3"/>
  <c r="C55" i="3"/>
  <c r="Q54" i="3"/>
  <c r="P54" i="3" s="1"/>
  <c r="O54" i="3"/>
  <c r="N54" i="3"/>
  <c r="D54" i="3"/>
  <c r="C54" i="3"/>
  <c r="Q53" i="3"/>
  <c r="P53" i="3" s="1"/>
  <c r="O53" i="3"/>
  <c r="N53" i="3"/>
  <c r="D53" i="3"/>
  <c r="C53" i="3"/>
  <c r="A53" i="3" s="1"/>
  <c r="B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Q48" i="3"/>
  <c r="P48" i="3" s="1"/>
  <c r="O48" i="3"/>
  <c r="N48" i="3"/>
  <c r="D48" i="3"/>
  <c r="C48" i="3"/>
  <c r="A48" i="3" s="1"/>
  <c r="B48" i="3" s="1"/>
  <c r="Q47" i="3"/>
  <c r="P47" i="3" s="1"/>
  <c r="O47" i="3"/>
  <c r="N47" i="3"/>
  <c r="D47" i="3"/>
  <c r="C47" i="3"/>
  <c r="Q46" i="3"/>
  <c r="P46" i="3" s="1"/>
  <c r="O46" i="3"/>
  <c r="N46" i="3"/>
  <c r="D46" i="3"/>
  <c r="C46" i="3"/>
  <c r="Q45" i="3"/>
  <c r="P45" i="3" s="1"/>
  <c r="O45" i="3"/>
  <c r="N45" i="3"/>
  <c r="D45" i="3"/>
  <c r="C45" i="3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C42" i="3"/>
  <c r="Q41" i="3"/>
  <c r="P41" i="3"/>
  <c r="O41" i="3"/>
  <c r="N41" i="3"/>
  <c r="D41" i="3"/>
  <c r="C41" i="3"/>
  <c r="Q40" i="3"/>
  <c r="P40" i="3" s="1"/>
  <c r="O40" i="3"/>
  <c r="N40" i="3"/>
  <c r="D40" i="3"/>
  <c r="C40" i="3"/>
  <c r="Q39" i="3"/>
  <c r="P39" i="3" s="1"/>
  <c r="O39" i="3"/>
  <c r="N39" i="3"/>
  <c r="D39" i="3"/>
  <c r="C39" i="3"/>
  <c r="A39" i="3" s="1"/>
  <c r="B39" i="3" s="1"/>
  <c r="Q36" i="3"/>
  <c r="P36" i="3" s="1"/>
  <c r="O36" i="3"/>
  <c r="N36" i="3"/>
  <c r="D36" i="3"/>
  <c r="C36" i="3"/>
  <c r="Q35" i="3"/>
  <c r="P35" i="3"/>
  <c r="O35" i="3"/>
  <c r="N35" i="3"/>
  <c r="D35" i="3"/>
  <c r="C35" i="3"/>
  <c r="A35" i="3" s="1"/>
  <c r="B35" i="3" s="1"/>
  <c r="Q34" i="3"/>
  <c r="P34" i="3" s="1"/>
  <c r="O34" i="3"/>
  <c r="N34" i="3"/>
  <c r="D34" i="3"/>
  <c r="AE10" i="3" s="1"/>
  <c r="C34" i="3"/>
  <c r="Q33" i="3"/>
  <c r="P33" i="3" s="1"/>
  <c r="O33" i="3"/>
  <c r="N33" i="3"/>
  <c r="D33" i="3"/>
  <c r="C33" i="3"/>
  <c r="Q32" i="3"/>
  <c r="P32" i="3" s="1"/>
  <c r="O32" i="3"/>
  <c r="N32" i="3"/>
  <c r="D32" i="3"/>
  <c r="C32" i="3"/>
  <c r="Q31" i="3"/>
  <c r="P31" i="3"/>
  <c r="O31" i="3"/>
  <c r="N31" i="3"/>
  <c r="D31" i="3"/>
  <c r="C31" i="3"/>
  <c r="A31" i="3" s="1"/>
  <c r="B31" i="3" s="1"/>
  <c r="Q30" i="3"/>
  <c r="P30" i="3" s="1"/>
  <c r="O30" i="3"/>
  <c r="N30" i="3"/>
  <c r="D30" i="3"/>
  <c r="C30" i="3"/>
  <c r="Q29" i="3"/>
  <c r="P29" i="3" s="1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 s="1"/>
  <c r="O24" i="3"/>
  <c r="N24" i="3"/>
  <c r="D24" i="3"/>
  <c r="C24" i="3"/>
  <c r="Q23" i="3"/>
  <c r="P23" i="3" s="1"/>
  <c r="O23" i="3"/>
  <c r="N23" i="3"/>
  <c r="D23" i="3"/>
  <c r="C23" i="3"/>
  <c r="Q22" i="3"/>
  <c r="P22" i="3" s="1"/>
  <c r="O22" i="3"/>
  <c r="N22" i="3"/>
  <c r="D22" i="3"/>
  <c r="AE4" i="3" s="1"/>
  <c r="C22" i="3"/>
  <c r="Q21" i="3"/>
  <c r="P21" i="3" s="1"/>
  <c r="O21" i="3"/>
  <c r="N21" i="3"/>
  <c r="D21" i="3"/>
  <c r="C21" i="3"/>
  <c r="Q20" i="3"/>
  <c r="P20" i="3" s="1"/>
  <c r="O20" i="3"/>
  <c r="N20" i="3"/>
  <c r="D20" i="3"/>
  <c r="C20" i="3"/>
  <c r="Q19" i="3"/>
  <c r="P19" i="3" s="1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/>
  <c r="B17" i="3" s="1"/>
  <c r="Q16" i="3"/>
  <c r="P16" i="3" s="1"/>
  <c r="O16" i="3"/>
  <c r="N16" i="3"/>
  <c r="D16" i="3"/>
  <c r="C16" i="3"/>
  <c r="Q15" i="3"/>
  <c r="P15" i="3" s="1"/>
  <c r="O15" i="3"/>
  <c r="N15" i="3"/>
  <c r="AE11" i="3" s="1"/>
  <c r="D15" i="3"/>
  <c r="C15" i="3"/>
  <c r="Q12" i="3"/>
  <c r="P12" i="3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A10" i="3" s="1"/>
  <c r="B10" i="3" s="1"/>
  <c r="C10" i="3"/>
  <c r="AD5" i="3"/>
  <c r="Q9" i="3"/>
  <c r="P9" i="3" s="1"/>
  <c r="O9" i="3"/>
  <c r="N9" i="3"/>
  <c r="D9" i="3"/>
  <c r="C9" i="3"/>
  <c r="Q8" i="3"/>
  <c r="P8" i="3"/>
  <c r="O8" i="3"/>
  <c r="N8" i="3"/>
  <c r="D8" i="3"/>
  <c r="C8" i="3"/>
  <c r="A8" i="3" s="1"/>
  <c r="B8" i="3" s="1"/>
  <c r="Q7" i="3"/>
  <c r="P7" i="3" s="1"/>
  <c r="O7" i="3"/>
  <c r="N7" i="3"/>
  <c r="D7" i="3"/>
  <c r="AE18" i="3" s="1"/>
  <c r="C7" i="3"/>
  <c r="Q6" i="3"/>
  <c r="P6" i="3" s="1"/>
  <c r="O6" i="3"/>
  <c r="N6" i="3"/>
  <c r="D6" i="3"/>
  <c r="C6" i="3"/>
  <c r="A6" i="3" s="1"/>
  <c r="B6" i="3" s="1"/>
  <c r="Q5" i="3"/>
  <c r="P5" i="3" s="1"/>
  <c r="O5" i="3"/>
  <c r="N5" i="3"/>
  <c r="D5" i="3"/>
  <c r="C5" i="3"/>
  <c r="A5" i="3" s="1"/>
  <c r="B5" i="3" s="1"/>
  <c r="Q4" i="3"/>
  <c r="P4" i="3" s="1"/>
  <c r="O4" i="3"/>
  <c r="N4" i="3"/>
  <c r="D4" i="3"/>
  <c r="C4" i="3"/>
  <c r="Q3" i="3"/>
  <c r="P3" i="3" s="1"/>
  <c r="O3" i="3"/>
  <c r="N3" i="3"/>
  <c r="D3" i="3"/>
  <c r="C3" i="3"/>
  <c r="A51" i="3" l="1"/>
  <c r="B51" i="3" s="1"/>
  <c r="A54" i="3"/>
  <c r="B54" i="3" s="1"/>
  <c r="A57" i="3"/>
  <c r="B57" i="3" s="1"/>
  <c r="A60" i="3"/>
  <c r="B60" i="3" s="1"/>
  <c r="A45" i="3"/>
  <c r="B45" i="3" s="1"/>
  <c r="A43" i="3"/>
  <c r="B43" i="3" s="1"/>
  <c r="A27" i="3"/>
  <c r="B27" i="3" s="1"/>
  <c r="A33" i="3"/>
  <c r="B33" i="3" s="1"/>
  <c r="AE15" i="3"/>
  <c r="AE17" i="3"/>
  <c r="AD15" i="3"/>
  <c r="AF15" i="3" s="1"/>
  <c r="AE14" i="3"/>
  <c r="A4" i="3"/>
  <c r="B4" i="3" s="1"/>
  <c r="A9" i="3"/>
  <c r="B9" i="3" s="1"/>
  <c r="AE16" i="3"/>
  <c r="A22" i="3"/>
  <c r="B22" i="3" s="1"/>
  <c r="AB4" i="3" s="1"/>
  <c r="A139" i="3"/>
  <c r="B139" i="3" s="1"/>
  <c r="A141" i="3"/>
  <c r="B141" i="3" s="1"/>
  <c r="A143" i="3"/>
  <c r="B143" i="3" s="1"/>
  <c r="A147" i="3"/>
  <c r="B147" i="3" s="1"/>
  <c r="A149" i="3"/>
  <c r="B149" i="3" s="1"/>
  <c r="A151" i="3"/>
  <c r="B151" i="3" s="1"/>
  <c r="A153" i="3"/>
  <c r="B153" i="3" s="1"/>
  <c r="A155" i="3"/>
  <c r="B155" i="3" s="1"/>
  <c r="A159" i="3"/>
  <c r="B159" i="3" s="1"/>
  <c r="A161" i="3"/>
  <c r="B161" i="3" s="1"/>
  <c r="A163" i="3"/>
  <c r="B163" i="3" s="1"/>
  <c r="A165" i="3"/>
  <c r="B165" i="3" s="1"/>
  <c r="A175" i="3"/>
  <c r="B175" i="3" s="1"/>
  <c r="A185" i="3"/>
  <c r="B185" i="3" s="1"/>
  <c r="A189" i="3"/>
  <c r="B189" i="3" s="1"/>
  <c r="A195" i="3"/>
  <c r="B195" i="3" s="1"/>
  <c r="A202" i="3"/>
  <c r="B202" i="3" s="1"/>
  <c r="A223" i="3"/>
  <c r="B223" i="3" s="1"/>
  <c r="A227" i="3"/>
  <c r="B227" i="3" s="1"/>
  <c r="AE9" i="3"/>
  <c r="AD4" i="3"/>
  <c r="AF4" i="3" s="1"/>
  <c r="AE5" i="3"/>
  <c r="AF5" i="3" s="1"/>
  <c r="AE22" i="3"/>
  <c r="A18" i="3"/>
  <c r="B18" i="3" s="1"/>
  <c r="A138" i="3"/>
  <c r="B138" i="3" s="1"/>
  <c r="A140" i="3"/>
  <c r="B140" i="3" s="1"/>
  <c r="A142" i="3"/>
  <c r="B142" i="3" s="1"/>
  <c r="A144" i="3"/>
  <c r="B144" i="3" s="1"/>
  <c r="A148" i="3"/>
  <c r="B148" i="3" s="1"/>
  <c r="A150" i="3"/>
  <c r="B150" i="3" s="1"/>
  <c r="A152" i="3"/>
  <c r="B152" i="3" s="1"/>
  <c r="A154" i="3"/>
  <c r="B154" i="3" s="1"/>
  <c r="A156" i="3"/>
  <c r="B156" i="3" s="1"/>
  <c r="A160" i="3"/>
  <c r="B160" i="3" s="1"/>
  <c r="A162" i="3"/>
  <c r="B162" i="3" s="1"/>
  <c r="A164" i="3"/>
  <c r="B164" i="3" s="1"/>
  <c r="A171" i="3"/>
  <c r="B171" i="3" s="1"/>
  <c r="A179" i="3"/>
  <c r="B179" i="3" s="1"/>
  <c r="A203" i="3"/>
  <c r="B203" i="3" s="1"/>
  <c r="AE6" i="3"/>
  <c r="AE8" i="3"/>
  <c r="AE12" i="3"/>
  <c r="AD10" i="3"/>
  <c r="AF10" i="3" s="1"/>
  <c r="AE20" i="3"/>
  <c r="AE19" i="3"/>
  <c r="A21" i="3"/>
  <c r="B21" i="3" s="1"/>
  <c r="A47" i="3"/>
  <c r="B47" i="3" s="1"/>
  <c r="A52" i="3"/>
  <c r="B52" i="3" s="1"/>
  <c r="AC15" i="3" s="1"/>
  <c r="A59" i="3"/>
  <c r="B59" i="3" s="1"/>
  <c r="A64" i="3"/>
  <c r="B64" i="3" s="1"/>
  <c r="A67" i="3"/>
  <c r="B67" i="3" s="1"/>
  <c r="A70" i="3"/>
  <c r="B70" i="3" s="1"/>
  <c r="A79" i="3"/>
  <c r="B79" i="3" s="1"/>
  <c r="A82" i="3"/>
  <c r="B82" i="3" s="1"/>
  <c r="A87" i="3"/>
  <c r="B87" i="3" s="1"/>
  <c r="A90" i="3"/>
  <c r="B90" i="3" s="1"/>
  <c r="A106" i="3"/>
  <c r="B106" i="3" s="1"/>
  <c r="A117" i="3"/>
  <c r="B117" i="3" s="1"/>
  <c r="A127" i="3"/>
  <c r="B127" i="3" s="1"/>
  <c r="A137" i="3"/>
  <c r="B137" i="3" s="1"/>
  <c r="AE13" i="3"/>
  <c r="AE21" i="3"/>
  <c r="AE7" i="3"/>
  <c r="A16" i="3"/>
  <c r="B16" i="3" s="1"/>
  <c r="A28" i="3"/>
  <c r="B28" i="3" s="1"/>
  <c r="A30" i="3"/>
  <c r="B30" i="3" s="1"/>
  <c r="AA12" i="3" s="1"/>
  <c r="A32" i="3"/>
  <c r="B32" i="3" s="1"/>
  <c r="AC6" i="3" s="1"/>
  <c r="A34" i="3"/>
  <c r="B34" i="3" s="1"/>
  <c r="A36" i="3"/>
  <c r="B36" i="3" s="1"/>
  <c r="A40" i="3"/>
  <c r="B40" i="3" s="1"/>
  <c r="A46" i="3"/>
  <c r="B46" i="3" s="1"/>
  <c r="A55" i="3"/>
  <c r="B55" i="3" s="1"/>
  <c r="A58" i="3"/>
  <c r="B58" i="3" s="1"/>
  <c r="A63" i="3"/>
  <c r="B63" i="3" s="1"/>
  <c r="A66" i="3"/>
  <c r="B66" i="3" s="1"/>
  <c r="A75" i="3"/>
  <c r="B75" i="3" s="1"/>
  <c r="A78" i="3"/>
  <c r="B78" i="3" s="1"/>
  <c r="A81" i="3"/>
  <c r="B81" i="3" s="1"/>
  <c r="A84" i="3"/>
  <c r="B84" i="3" s="1"/>
  <c r="A93" i="3"/>
  <c r="B93" i="3" s="1"/>
  <c r="AC5" i="3" s="1"/>
  <c r="A96" i="3"/>
  <c r="B96" i="3" s="1"/>
  <c r="A100" i="3"/>
  <c r="B100" i="3" s="1"/>
  <c r="A103" i="3"/>
  <c r="B103" i="3" s="1"/>
  <c r="A112" i="3"/>
  <c r="B112" i="3" s="1"/>
  <c r="AB17" i="3" s="1"/>
  <c r="A114" i="3"/>
  <c r="B114" i="3" s="1"/>
  <c r="A120" i="3"/>
  <c r="B120" i="3" s="1"/>
  <c r="A124" i="3"/>
  <c r="B124" i="3" s="1"/>
  <c r="A130" i="3"/>
  <c r="B130" i="3" s="1"/>
  <c r="A132" i="3"/>
  <c r="B132" i="3" s="1"/>
  <c r="A101" i="3"/>
  <c r="B101" i="3" s="1"/>
  <c r="A104" i="3"/>
  <c r="B104" i="3" s="1"/>
  <c r="A113" i="3"/>
  <c r="B113" i="3" s="1"/>
  <c r="AB11" i="3" s="1"/>
  <c r="A115" i="3"/>
  <c r="B115" i="3" s="1"/>
  <c r="A118" i="3"/>
  <c r="B118" i="3" s="1"/>
  <c r="A123" i="3"/>
  <c r="B123" i="3" s="1"/>
  <c r="A125" i="3"/>
  <c r="B125" i="3" s="1"/>
  <c r="A128" i="3"/>
  <c r="B128" i="3" s="1"/>
  <c r="A131" i="3"/>
  <c r="B131" i="3" s="1"/>
  <c r="A135" i="3"/>
  <c r="B135" i="3" s="1"/>
  <c r="AC11" i="3"/>
  <c r="AD18" i="3"/>
  <c r="A7" i="3"/>
  <c r="B7" i="3" s="1"/>
  <c r="AD16" i="3"/>
  <c r="AD11" i="3"/>
  <c r="AD13" i="3"/>
  <c r="A11" i="3"/>
  <c r="B11" i="3" s="1"/>
  <c r="A24" i="3"/>
  <c r="B24" i="3" s="1"/>
  <c r="AD8" i="3"/>
  <c r="AD3" i="3"/>
  <c r="A42" i="3"/>
  <c r="B42" i="3" s="1"/>
  <c r="A44" i="3"/>
  <c r="B44" i="3" s="1"/>
  <c r="AD9" i="3"/>
  <c r="A23" i="3"/>
  <c r="B23" i="3" s="1"/>
  <c r="AD14" i="3"/>
  <c r="AD7" i="3"/>
  <c r="A41" i="3"/>
  <c r="B41" i="3" s="1"/>
  <c r="AA7" i="3" s="1"/>
  <c r="A15" i="3"/>
  <c r="B15" i="3" s="1"/>
  <c r="AD22" i="3"/>
  <c r="AA21" i="3"/>
  <c r="A3" i="3"/>
  <c r="B3" i="3" s="1"/>
  <c r="AE3" i="3"/>
  <c r="AD19" i="3"/>
  <c r="AD17" i="3"/>
  <c r="AD6" i="3"/>
  <c r="AD12" i="3"/>
  <c r="AD20" i="3"/>
  <c r="AD21" i="3"/>
  <c r="A12" i="3"/>
  <c r="B12" i="3" s="1"/>
  <c r="A20" i="3"/>
  <c r="B20" i="3" s="1"/>
  <c r="AE255" i="3" l="1"/>
  <c r="AA6" i="3"/>
  <c r="AB6" i="3"/>
  <c r="AB12" i="3"/>
  <c r="AB15" i="3"/>
  <c r="AA3" i="3"/>
  <c r="AE243" i="3"/>
  <c r="AE257" i="3"/>
  <c r="AE239" i="3"/>
  <c r="AE258" i="3"/>
  <c r="AE244" i="3"/>
  <c r="AE253" i="3"/>
  <c r="AD251" i="3"/>
  <c r="AE245" i="3"/>
  <c r="AD256" i="3"/>
  <c r="AE252" i="3"/>
  <c r="AE242" i="3"/>
  <c r="AD240" i="3"/>
  <c r="AD245" i="3"/>
  <c r="AE241" i="3"/>
  <c r="AE249" i="3"/>
  <c r="AE251" i="3"/>
  <c r="AE247" i="3"/>
  <c r="AE254" i="3"/>
  <c r="AB10" i="3"/>
  <c r="AC12" i="3"/>
  <c r="AC17" i="3"/>
  <c r="AA5" i="3"/>
  <c r="AA4" i="3"/>
  <c r="AB19" i="3"/>
  <c r="AE246" i="3"/>
  <c r="AE256" i="3"/>
  <c r="AE250" i="3"/>
  <c r="AE248" i="3"/>
  <c r="AE240" i="3"/>
  <c r="AC4" i="3"/>
  <c r="AB3" i="3"/>
  <c r="AC3" i="3"/>
  <c r="AA10" i="3"/>
  <c r="AB5" i="3"/>
  <c r="AC19" i="3"/>
  <c r="AA15" i="3"/>
  <c r="AC7" i="3"/>
  <c r="AC10" i="3"/>
  <c r="AA11" i="3"/>
  <c r="Z11" i="3" s="1"/>
  <c r="AA19" i="3"/>
  <c r="AA17" i="3"/>
  <c r="Y17" i="3" s="1"/>
  <c r="AB21" i="3"/>
  <c r="AC21" i="3"/>
  <c r="AD242" i="3"/>
  <c r="AF21" i="3"/>
  <c r="AA14" i="3"/>
  <c r="AC14" i="3"/>
  <c r="AB14" i="3"/>
  <c r="AD255" i="3"/>
  <c r="AF20" i="3"/>
  <c r="AD241" i="3"/>
  <c r="AF19" i="3"/>
  <c r="AB22" i="3"/>
  <c r="AA22" i="3"/>
  <c r="AC22" i="3"/>
  <c r="AD254" i="3"/>
  <c r="AF9" i="3"/>
  <c r="AD246" i="3"/>
  <c r="AF8" i="3"/>
  <c r="AB7" i="3"/>
  <c r="AF16" i="3"/>
  <c r="AD252" i="3"/>
  <c r="AF17" i="3"/>
  <c r="AD244" i="3"/>
  <c r="AD249" i="3"/>
  <c r="AF22" i="3"/>
  <c r="AD239" i="3"/>
  <c r="AF3" i="3"/>
  <c r="AD243" i="3"/>
  <c r="AF18" i="3"/>
  <c r="AA9" i="3"/>
  <c r="AC9" i="3"/>
  <c r="AB9" i="3"/>
  <c r="AD258" i="3"/>
  <c r="AF12" i="3"/>
  <c r="AD253" i="3"/>
  <c r="AF7" i="3"/>
  <c r="AA8" i="3"/>
  <c r="AC8" i="3"/>
  <c r="AB8" i="3"/>
  <c r="AB13" i="3"/>
  <c r="AA13" i="3"/>
  <c r="AC13" i="3"/>
  <c r="AD247" i="3"/>
  <c r="AF11" i="3"/>
  <c r="AB20" i="3"/>
  <c r="AC20" i="3"/>
  <c r="AA20" i="3"/>
  <c r="AF6" i="3"/>
  <c r="AD248" i="3"/>
  <c r="AC16" i="3"/>
  <c r="AA16" i="3"/>
  <c r="AB16" i="3"/>
  <c r="Y12" i="3"/>
  <c r="AD250" i="3"/>
  <c r="AF14" i="3"/>
  <c r="AD257" i="3"/>
  <c r="AF13" i="3"/>
  <c r="AC18" i="3"/>
  <c r="AB18" i="3"/>
  <c r="AA18" i="3"/>
  <c r="Y6" i="3"/>
  <c r="Z6" i="3" l="1"/>
  <c r="Y3" i="3"/>
  <c r="Y15" i="3"/>
  <c r="Z12" i="3"/>
  <c r="AG12" i="3" s="1"/>
  <c r="AF257" i="3"/>
  <c r="AA245" i="3"/>
  <c r="AA251" i="3"/>
  <c r="AA239" i="3"/>
  <c r="AB246" i="3"/>
  <c r="AA253" i="3"/>
  <c r="AC252" i="3"/>
  <c r="AB253" i="3"/>
  <c r="AB255" i="3"/>
  <c r="AF254" i="3"/>
  <c r="AA256" i="3"/>
  <c r="AF255" i="3"/>
  <c r="AA240" i="3"/>
  <c r="AC254" i="3"/>
  <c r="AB245" i="3"/>
  <c r="AC255" i="3"/>
  <c r="AB247" i="3"/>
  <c r="AB244" i="3"/>
  <c r="AB243" i="3"/>
  <c r="Y11" i="3"/>
  <c r="AC256" i="3"/>
  <c r="AC257" i="3"/>
  <c r="AA258" i="3"/>
  <c r="AC243" i="3"/>
  <c r="AB257" i="3"/>
  <c r="AF253" i="3"/>
  <c r="AA244" i="3"/>
  <c r="AA247" i="3"/>
  <c r="AB242" i="3"/>
  <c r="AB254" i="3"/>
  <c r="Z4" i="3"/>
  <c r="AG4" i="3" s="1"/>
  <c r="Z5" i="3"/>
  <c r="AG5" i="3" s="1"/>
  <c r="Y5" i="3"/>
  <c r="AF252" i="3"/>
  <c r="AB250" i="3"/>
  <c r="AA248" i="3"/>
  <c r="AC244" i="3"/>
  <c r="AA241" i="3"/>
  <c r="AB252" i="3"/>
  <c r="Y4" i="3"/>
  <c r="AF243" i="3"/>
  <c r="AC242" i="3"/>
  <c r="AB248" i="3"/>
  <c r="Z15" i="3"/>
  <c r="AG15" i="3" s="1"/>
  <c r="AF247" i="3"/>
  <c r="AA242" i="3"/>
  <c r="AC246" i="3"/>
  <c r="AF258" i="3"/>
  <c r="AF250" i="3"/>
  <c r="AF249" i="3"/>
  <c r="Y21" i="3"/>
  <c r="AB258" i="3"/>
  <c r="Z21" i="3"/>
  <c r="Z19" i="3"/>
  <c r="AG19" i="3" s="1"/>
  <c r="AC239" i="3"/>
  <c r="AF239" i="3"/>
  <c r="AC245" i="3"/>
  <c r="AF248" i="3"/>
  <c r="AF244" i="3"/>
  <c r="AF240" i="3"/>
  <c r="AF246" i="3"/>
  <c r="AC249" i="3"/>
  <c r="AC250" i="3"/>
  <c r="AC241" i="3"/>
  <c r="AB239" i="3"/>
  <c r="AB256" i="3"/>
  <c r="AB240" i="3"/>
  <c r="AC258" i="3"/>
  <c r="Y19" i="3"/>
  <c r="AC251" i="3"/>
  <c r="AC240" i="3"/>
  <c r="AB251" i="3"/>
  <c r="AC247" i="3"/>
  <c r="AF256" i="3"/>
  <c r="Z3" i="3"/>
  <c r="AB249" i="3"/>
  <c r="AF241" i="3"/>
  <c r="AF242" i="3"/>
  <c r="AC253" i="3"/>
  <c r="Z10" i="3"/>
  <c r="AG10" i="3" s="1"/>
  <c r="AF245" i="3"/>
  <c r="AB241" i="3"/>
  <c r="AC248" i="3"/>
  <c r="AF251" i="3"/>
  <c r="Y10" i="3"/>
  <c r="Z17" i="3"/>
  <c r="AG11" i="3"/>
  <c r="AA250" i="3"/>
  <c r="Y14" i="3"/>
  <c r="Z14" i="3"/>
  <c r="AA252" i="3"/>
  <c r="Y16" i="3"/>
  <c r="Z16" i="3"/>
  <c r="AG6" i="3"/>
  <c r="AA257" i="3"/>
  <c r="Y13" i="3"/>
  <c r="Z13" i="3"/>
  <c r="AA246" i="3"/>
  <c r="Z8" i="3"/>
  <c r="Y8" i="3"/>
  <c r="AA249" i="3"/>
  <c r="Z22" i="3"/>
  <c r="Y22" i="3"/>
  <c r="Z7" i="3"/>
  <c r="AA243" i="3"/>
  <c r="Z18" i="3"/>
  <c r="Y18" i="3"/>
  <c r="AA255" i="3"/>
  <c r="Z20" i="3"/>
  <c r="Y20" i="3"/>
  <c r="AA254" i="3"/>
  <c r="Y9" i="3"/>
  <c r="Z9" i="3"/>
  <c r="Y7" i="3"/>
  <c r="Y244" i="3" l="1"/>
  <c r="Y256" i="3"/>
  <c r="Z258" i="3"/>
  <c r="Z256" i="3"/>
  <c r="Y255" i="3"/>
  <c r="Z251" i="3"/>
  <c r="Y245" i="3"/>
  <c r="Y246" i="3"/>
  <c r="Y257" i="3"/>
  <c r="Y254" i="3"/>
  <c r="Z244" i="3"/>
  <c r="Y243" i="3"/>
  <c r="Z240" i="3"/>
  <c r="Z242" i="3"/>
  <c r="AG3" i="3"/>
  <c r="Z247" i="3"/>
  <c r="Z241" i="3"/>
  <c r="Y250" i="3"/>
  <c r="Y242" i="3"/>
  <c r="Y252" i="3"/>
  <c r="Z248" i="3"/>
  <c r="Y239" i="3"/>
  <c r="Y258" i="3"/>
  <c r="Y249" i="3"/>
  <c r="AG21" i="3"/>
  <c r="Z239" i="3"/>
  <c r="Y241" i="3"/>
  <c r="Z245" i="3"/>
  <c r="Y251" i="3"/>
  <c r="Y247" i="3"/>
  <c r="AG17" i="3"/>
  <c r="Y248" i="3"/>
  <c r="Y253" i="3"/>
  <c r="Y240" i="3"/>
  <c r="Z243" i="3"/>
  <c r="AG18" i="3"/>
  <c r="Z249" i="3"/>
  <c r="AG22" i="3"/>
  <c r="Z246" i="3"/>
  <c r="AG8" i="3"/>
  <c r="Z250" i="3"/>
  <c r="AG14" i="3"/>
  <c r="Z253" i="3"/>
  <c r="AG7" i="3"/>
  <c r="Z257" i="3"/>
  <c r="AG13" i="3"/>
  <c r="Z252" i="3"/>
  <c r="AG16" i="3"/>
  <c r="Z255" i="3"/>
  <c r="AG20" i="3"/>
  <c r="AG255" i="3" s="1"/>
  <c r="Z254" i="3"/>
  <c r="AG9" i="3"/>
  <c r="AG257" i="3" l="1"/>
  <c r="AG254" i="3"/>
  <c r="AG252" i="3"/>
  <c r="AG249" i="3"/>
  <c r="AG253" i="3"/>
  <c r="AG244" i="3"/>
  <c r="AG243" i="3"/>
  <c r="AG250" i="3"/>
  <c r="AG248" i="3"/>
  <c r="AG246" i="3"/>
  <c r="AG242" i="3"/>
  <c r="AG256" i="3"/>
  <c r="AG245" i="3"/>
  <c r="AG239" i="3"/>
  <c r="AG247" i="3"/>
  <c r="AG251" i="3"/>
  <c r="AG240" i="3"/>
  <c r="AG241" i="3"/>
  <c r="AG258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<sst xmlns="http://schemas.openxmlformats.org/spreadsheetml/2006/main" count="1157" uniqueCount="101">
  <si>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</si>
  <si>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</si>
  <si>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</si>
  <si>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</si>
  <si>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</si>
  <si>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</si>
  <si>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</si>
  <si>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</si>
  <si>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</si>
  <si>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</si>
  <si>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</si>
  <si>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</si>
  <si>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</si>
  <si>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</si>
  <si>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</si>
  <si>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</si>
  <si>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</si>
  <si>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</si>
  <si>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</si>
  <si>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</si>
  <si>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</si>
  <si>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</si>
  <si>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</si>
  <si>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</si>
  <si>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</si>
  <si>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</si>
  <si>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</si>
  <si>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</si>
  <si>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</si>
  <si>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</si>
  <si>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</si>
  <si>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</si>
  <si>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</si>
  <si>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</si>
  <si>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</si>
  <si>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</si>
  <si>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</si>
  <si>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</si>
  <si>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</si>
  <si>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</si>
  <si>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</si>
  <si>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</si>
  <si>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</si>
  <si>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</si>
  <si>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</si>
  <si>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</si>
  <si>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</si>
  <si>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</si>
  <si>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</si>
  <si>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</si>
  <si>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</si>
  <si>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</si>
  <si>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</si>
  <si>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</si>
  <si>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</si>
  <si>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</si>
  <si>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</si>
  <si>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</si>
  <si>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</si>
  <si>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</si>
  <si>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Jose Carlos</t>
  </si>
  <si>
    <t>Alex Aldir</t>
  </si>
  <si>
    <t>Igor</t>
  </si>
  <si>
    <t>Severino Anderson</t>
  </si>
  <si>
    <t>Cabugi SC</t>
  </si>
  <si>
    <t>jadiel</t>
  </si>
  <si>
    <t>Coquinho</t>
  </si>
  <si>
    <t>Coquinho bebidas</t>
  </si>
  <si>
    <t>Peixoto</t>
  </si>
  <si>
    <t>Brasmanha SC</t>
  </si>
  <si>
    <t>Kayque</t>
  </si>
  <si>
    <t>JP90</t>
  </si>
  <si>
    <t>Ruan Jose</t>
  </si>
  <si>
    <t>TEAM CBUM</t>
  </si>
  <si>
    <t>D!NO F.C 10</t>
  </si>
  <si>
    <t>KENNEDY TEAM</t>
  </si>
  <si>
    <t>Kennedy Gilbert</t>
  </si>
  <si>
    <t>kaio paredão FC 01</t>
  </si>
  <si>
    <t>Kaio Henrique</t>
  </si>
  <si>
    <t>Atletico Juventus T.C</t>
  </si>
  <si>
    <t>Mario Jorge</t>
  </si>
  <si>
    <t>Serra Verde Futebol Club</t>
  </si>
  <si>
    <t>Janailson Eugênio</t>
  </si>
  <si>
    <t>Alex Antenas</t>
  </si>
  <si>
    <t>Rafael Justo</t>
  </si>
  <si>
    <t>Águia Dourada 13</t>
  </si>
  <si>
    <t>NÃO ESCALOU</t>
  </si>
  <si>
    <t>Óia o rato!</t>
  </si>
  <si>
    <t>Arsenal PE 87</t>
  </si>
  <si>
    <t>Taylon</t>
  </si>
  <si>
    <t>Belo Tricolor</t>
  </si>
  <si>
    <t>Alexandre</t>
  </si>
  <si>
    <t>expresso riachense</t>
  </si>
  <si>
    <t>Jailson</t>
  </si>
  <si>
    <t>Alison FCC</t>
  </si>
  <si>
    <t>Alison</t>
  </si>
  <si>
    <t>onça pintanda HD 13</t>
  </si>
  <si>
    <t>Heider</t>
  </si>
  <si>
    <t>jR. Miranda</t>
  </si>
  <si>
    <t>Black Up City</t>
  </si>
  <si>
    <t>Atlanta J.L 812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</si>
</sst>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2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2" fillId="0" borderId="0" xfId="0" applyFont="1"/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6" fillId="3" borderId="0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4" fillId="3" borderId="0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4" fillId="3" borderId="3" xfId="0" applyFont="1" applyFill="1" applyBorder="1" applyAlignment="1">
      <alignment horizontal="center"/>
    </xf>
    <xf numFmtId="0" fontId="14" fillId="3" borderId="1" xfId="0" applyFon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63500</xdr:colOff>
      <xdr:row>229</xdr:row>
      <xdr:rowOff>114300</xdr:rowOff>
    </xdr:from>
    <xdr:to>
      <xdr:col>23</xdr:col>
      <xdr:colOff>711200</xdr:colOff>
      <xdr:row>235</xdr:row>
      <xdr:rowOff>119429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7F242C-AD49-4D22-9BE3-1AA74D4CB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61800" y="49555400"/>
          <a:ext cx="952500" cy="1300529"/>
        </a:xfrm>
        <a:prstGeom prst="rect">
          <a:avLst/>
        </a:prstGeom>
      </xdr:spPr>
    </xdr:pic>
    <xdr:clientData/>
  </xdr:twoCellAnchor>
  <xdr:twoCellAnchor editAs="oneCell">
    <xdr:from>
      <xdr:col>23</xdr:col>
      <xdr:colOff>711197</xdr:colOff>
      <xdr:row>229</xdr:row>
      <xdr:rowOff>114300</xdr:rowOff>
    </xdr:from>
    <xdr:to>
      <xdr:col>33</xdr:col>
      <xdr:colOff>27168</xdr:colOff>
      <xdr:row>235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74003DC-1302-47ED-9547-E69336F8E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65397" y="49555400"/>
          <a:ext cx="4853171" cy="1181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28" zoomScale="75" zoomScaleNormal="75" workbookViewId="0">
      <selection activeCell="X61" sqref="X61"/>
    </sheetView>
  </sheetViews>
  <sheetFormatPr defaultColWidth="23.42578125" defaultRowHeight="17.25" customHeight="1" x14ac:dyDescent="0.25"/>
  <cols>
    <col min="1" max="1" width="7.5703125" style="4" bestFit="1" customWidth="1"/>
    <col min="2" max="2" width="2.5703125" style="4" bestFit="1" customWidth="1"/>
    <col min="3" max="4" width="8.140625" style="4" bestFit="1" customWidth="1"/>
    <col min="5" max="5" width="3.5703125" style="4" customWidth="1"/>
    <col min="6" max="6" width="23.28515625" style="4" bestFit="1" customWidth="1"/>
    <col min="7" max="7" width="30.28515625" style="4" bestFit="1" customWidth="1"/>
    <col min="8" max="8" width="9.85546875" style="65" bestFit="1" customWidth="1"/>
    <col min="9" max="9" width="2.85546875" style="4" bestFit="1" customWidth="1"/>
    <col min="10" max="10" width="9.85546875" style="65" bestFit="1" customWidth="1"/>
    <col min="11" max="11" width="30.28515625" style="4" bestFit="1" customWidth="1"/>
    <col min="12" max="12" width="23.28515625" style="4" bestFit="1" customWidth="1"/>
    <col min="13" max="13" width="3.5703125" style="4" customWidth="1"/>
    <col min="14" max="15" width="8.140625" style="4" bestFit="1" customWidth="1"/>
    <col min="16" max="16" width="2.5703125" style="4" bestFit="1" customWidth="1"/>
    <col min="17" max="17" width="7.5703125" style="4" bestFit="1" customWidth="1"/>
    <col min="18" max="21" width="5.7109375" style="4" customWidth="1"/>
    <col min="22" max="22" width="2.7109375" style="4" customWidth="1"/>
    <col min="23" max="23" width="4.5703125" style="4" bestFit="1" customWidth="1"/>
    <col min="24" max="24" width="27.5703125" style="4" bestFit="1" customWidth="1"/>
    <col min="25" max="25" width="8.42578125" style="4" bestFit="1" customWidth="1"/>
    <col min="26" max="26" width="7" style="4" bestFit="1" customWidth="1"/>
    <col min="27" max="28" width="2.42578125" style="4" bestFit="1" customWidth="1"/>
    <col min="29" max="29" width="2.5703125" style="4" bestFit="1" customWidth="1"/>
    <col min="30" max="31" width="8.140625" style="4" bestFit="1" customWidth="1"/>
    <col min="32" max="32" width="8.85546875" style="4" bestFit="1" customWidth="1"/>
    <col min="33" max="33" width="7" style="60" bestFit="1" customWidth="1"/>
    <col min="34" max="34" width="2.7109375" style="4" customWidth="1"/>
    <col min="35" max="16384" width="23.42578125" style="4"/>
  </cols>
  <sheetData>
    <row r="1" spans="1:33" s="11" customFormat="1" ht="17.25" customHeight="1" x14ac:dyDescent="0.25">
      <c r="A1" s="11" t="s">
        <v>56</v>
      </c>
      <c r="B1" s="11" t="s">
        <v>53</v>
      </c>
      <c r="C1" s="11" t="s">
        <v>54</v>
      </c>
      <c r="D1" s="11" t="s">
        <v>55</v>
      </c>
      <c r="E1" s="12"/>
      <c r="F1" s="54" t="s">
        <v>0</v>
      </c>
      <c r="G1" s="12"/>
      <c r="H1" s="12"/>
      <c r="I1" s="12"/>
      <c r="J1" s="12"/>
      <c r="K1" s="12"/>
      <c r="L1" s="12"/>
      <c r="M1" s="12"/>
      <c r="N1" s="11" t="s">
        <v>55</v>
      </c>
      <c r="O1" s="11" t="s">
        <v>54</v>
      </c>
      <c r="P1" s="11" t="s">
        <v>53</v>
      </c>
      <c r="Q1" s="11" t="s">
        <v>56</v>
      </c>
      <c r="AG1" s="59"/>
    </row>
    <row r="2" spans="1:33" ht="17.25" customHeight="1" x14ac:dyDescent="0.25">
      <c r="E2" s="3"/>
      <c r="F2" s="1" t="s">
        <v>1</v>
      </c>
      <c r="G2" s="54" t="s">
        <v>2</v>
      </c>
      <c r="H2" s="1"/>
      <c r="I2" s="1"/>
      <c r="J2" s="1"/>
      <c r="K2" s="54" t="s">
        <v>2</v>
      </c>
      <c r="L2" s="1" t="s">
        <v>1</v>
      </c>
      <c r="M2" s="3"/>
      <c r="X2" s="4" t="s">
        <v>2</v>
      </c>
      <c r="Y2" s="4" t="s">
        <v>57</v>
      </c>
      <c r="Z2" s="4" t="s">
        <v>58</v>
      </c>
      <c r="AA2" s="4" t="s">
        <v>23</v>
      </c>
      <c r="AB2" s="4" t="s">
        <v>24</v>
      </c>
      <c r="AC2" s="4" t="s">
        <v>25</v>
      </c>
      <c r="AD2" s="4" t="s">
        <v>54</v>
      </c>
      <c r="AE2" s="4" t="s">
        <v>55</v>
      </c>
      <c r="AF2" s="4" t="s">
        <v>28</v>
      </c>
    </row>
    <row r="3" spans="1:33" ht="17.25" customHeight="1" x14ac:dyDescent="0.25">
      <c r="A3" s="4">
        <f>C3-D3</f>
        <v>5.25</v>
      </c>
      <c r="B3" s="4" t="str">
        <f>_xlfn.IFS(A3&gt;=5,"V",A3&lt;=-5,"D",A3&lt;=-4.99,"E",A3&lt;=4.99,"E")</f>
        <v>V</v>
      </c>
      <c r="C3" s="4">
        <f>H3</f>
        <v>105.46</v>
      </c>
      <c r="D3" s="4">
        <f>J3</f>
        <v>100.21</v>
      </c>
      <c r="E3" s="3"/>
      <c r="F3" s="54" t="s">
        <v>80</v>
      </c>
      <c r="G3" s="55" t="s">
        <v>79</v>
      </c>
      <c r="H3" s="68">
        <v>105.46</v>
      </c>
      <c r="I3" s="1" t="s">
        <v>52</v>
      </c>
      <c r="J3" s="61">
        <v>100.21</v>
      </c>
      <c r="K3" s="55" t="s">
        <v>81</v>
      </c>
      <c r="L3" s="54" t="s">
        <v>82</v>
      </c>
      <c r="M3" s="3"/>
      <c r="N3" s="4">
        <f>H3</f>
        <v>105.46</v>
      </c>
      <c r="O3" s="4">
        <f>J3</f>
        <v>100.21</v>
      </c>
      <c r="P3" s="4" t="str">
        <f>_xlfn.IFS(Q3&gt;=5,"V",Q3&lt;=-5,"D",Q3&lt;=-4.99,"E",Q3&lt;=4.99,"E")</f>
        <v>D</v>
      </c>
      <c r="Q3" s="4">
        <f>J3-H3</f>
        <v>-5.25</v>
      </c>
      <c r="X3" s="48" t="s">
        <v>74</v>
      </c>
      <c r="Y3" s="70">
        <f>SUM((AA3*3)+AB3)</f>
        <v>12</v>
      </c>
      <c r="Z3" s="70">
        <f>SUM(AA3+AB3+AC3)</f>
        <v>5</v>
      </c>
      <c r="AA3" s="32">
        <f>COUNTIFS($G$3:$G$228,X3,$B$3:$B$228,"V")+COUNTIFS($K$3:$K$228,X3,$P$3:$P$228,"V")</f>
        <v>4</v>
      </c>
      <c r="AB3" s="32">
        <f>COUNTIFS($G$3:$G$228,X3,$B$3:$B$228,"E",$H$3:$H$228,"&lt;&gt;"&amp;"")+COUNTIFS($K$3:$K$228,X3,$P$3:$P$228,"E",$J$3:$J$228,"&lt;&gt;"&amp;"")</f>
        <v>0</v>
      </c>
      <c r="AC3" s="32">
        <f>COUNTIFS($G$3:$G$228,X3,$B$3:$B$228,"D")+COUNTIFS($K$3:$K$228,X3,$P$3:$P$228,"D")</f>
        <v>1</v>
      </c>
      <c r="AD3" s="32">
        <f>SUMIFS($C$3:$C$228,$G$3:$G$228,X3)+SUMIFS($O$3:$O$228,$K$3:$K$228,X3)</f>
        <v>477.15</v>
      </c>
      <c r="AE3" s="32">
        <f>SUMIFS($D$3:$D$228,$G$3:$G$228,X3)+SUMIFS($N$3:$N$228,$K$3:$K$228,X3)</f>
        <v>432.45000000000005</v>
      </c>
      <c r="AF3" s="70">
        <f>SUM(AD3-AE3)</f>
        <v>44.699999999999932</v>
      </c>
      <c r="AG3" s="22">
        <f>SUM(AD3/Z3)</f>
        <v>95.429999999999993</v>
      </c>
    </row>
    <row r="4" spans="1:33" ht="17.25" customHeight="1" x14ac:dyDescent="0.25">
      <c r="A4" s="4">
        <f t="shared" ref="A4:A67" si="0">C4-D4</f>
        <v>-3.7999999999999972</v>
      </c>
      <c r="B4" s="4" t="str">
        <f t="shared" ref="B4:B12" si="1">_xlfn.IFS(A4&gt;=5,"V",A4&lt;=-5,"D",A4&lt;=-4.99,"E",A4&lt;=4.99,"E")</f>
        <v>E</v>
      </c>
      <c r="C4" s="4">
        <f t="shared" ref="C4:C67" si="2">H4</f>
        <v>104.91</v>
      </c>
      <c r="D4" s="4">
        <f t="shared" ref="D4:D67" si="3">J4</f>
        <v>108.71</v>
      </c>
      <c r="E4" s="3"/>
      <c r="F4" s="54" t="s">
        <v>78</v>
      </c>
      <c r="G4" s="55" t="s">
        <v>77</v>
      </c>
      <c r="H4" s="69">
        <v>104.91</v>
      </c>
      <c r="I4" s="1" t="s">
        <v>52</v>
      </c>
      <c r="J4" s="69">
        <v>108.71</v>
      </c>
      <c r="K4" s="55" t="s">
        <v>69</v>
      </c>
      <c r="L4" s="54" t="s">
        <v>70</v>
      </c>
      <c r="M4" s="3"/>
      <c r="N4" s="4">
        <f t="shared" ref="N4:N67" si="4">H4</f>
        <v>104.91</v>
      </c>
      <c r="O4" s="4">
        <f t="shared" ref="O4:O67" si="5">J4</f>
        <v>108.71</v>
      </c>
      <c r="P4" s="4" t="str">
        <f t="shared" ref="P4:P67" si="6">_xlfn.IFS(Q4&gt;=5,"V",Q4&lt;=-5,"D",Q4&lt;=-4.99,"E",Q4&lt;=4.99,"E")</f>
        <v>E</v>
      </c>
      <c r="Q4" s="4">
        <f t="shared" ref="Q4:Q67" si="7">J4-H4</f>
        <v>3.7999999999999972</v>
      </c>
      <c r="X4" s="6" t="s">
        <v>87</v>
      </c>
      <c r="Y4" s="58">
        <f>SUM((AA4*3)+AB4)</f>
        <v>12</v>
      </c>
      <c r="Z4" s="58">
        <f>SUM(AA4+AB4+AC4)</f>
        <v>5</v>
      </c>
      <c r="AA4" s="58">
        <f>COUNTIFS($G$3:$G$228,X4,$B$3:$B$228,"V")+COUNTIFS($K$3:$K$228,X4,$P$3:$P$228,"V")</f>
        <v>4</v>
      </c>
      <c r="AB4" s="58">
        <f>COUNTIFS($G$3:$G$228,X4,$B$3:$B$228,"E",$H$3:$H$228,"&lt;&gt;"&amp;"")+COUNTIFS($K$3:$K$228,X4,$P$3:$P$228,"E",$J$3:$J$228,"&lt;&gt;"&amp;"")</f>
        <v>0</v>
      </c>
      <c r="AC4" s="58">
        <f>COUNTIFS($G$3:$G$228,X4,$B$3:$B$228,"D")+COUNTIFS($K$3:$K$228,X4,$P$3:$P$228,"D")</f>
        <v>1</v>
      </c>
      <c r="AD4" s="58">
        <f>SUMIFS($C$3:$C$228,$G$3:$G$228,X4)+SUMIFS($O$3:$O$228,$K$3:$K$228,X4)</f>
        <v>429.7</v>
      </c>
      <c r="AE4" s="58">
        <f>SUMIFS($D$3:$D$228,$G$3:$G$228,X4)+SUMIFS($N$3:$N$228,$K$3:$K$228,X4)</f>
        <v>388.53999999999996</v>
      </c>
      <c r="AF4" s="58">
        <f>SUM(AD4-AE4)</f>
        <v>41.160000000000025</v>
      </c>
      <c r="AG4" s="23">
        <f>SUM(AD4/Z4)</f>
        <v>85.94</v>
      </c>
    </row>
    <row r="5" spans="1:33" ht="17.25" customHeight="1" x14ac:dyDescent="0.25">
      <c r="A5" s="4">
        <f t="shared" si="0"/>
        <v>33.5</v>
      </c>
      <c r="B5" s="4" t="str">
        <f t="shared" si="1"/>
        <v>V</v>
      </c>
      <c r="C5" s="4">
        <f t="shared" si="2"/>
        <v>120.41</v>
      </c>
      <c r="D5" s="4">
        <f t="shared" si="3"/>
        <v>86.91</v>
      </c>
      <c r="E5" s="3"/>
      <c r="F5" s="54" t="s">
        <v>72</v>
      </c>
      <c r="G5" s="55" t="s">
        <v>73</v>
      </c>
      <c r="H5" s="68">
        <v>120.41</v>
      </c>
      <c r="I5" s="1" t="s">
        <v>52</v>
      </c>
      <c r="J5" s="61">
        <v>86.91</v>
      </c>
      <c r="K5" s="55" t="s">
        <v>94</v>
      </c>
      <c r="L5" s="54" t="s">
        <v>95</v>
      </c>
      <c r="M5" s="3"/>
      <c r="N5" s="4">
        <f t="shared" si="4"/>
        <v>120.41</v>
      </c>
      <c r="O5" s="4">
        <f t="shared" si="5"/>
        <v>86.91</v>
      </c>
      <c r="P5" s="4" t="str">
        <f t="shared" si="6"/>
        <v>D</v>
      </c>
      <c r="Q5" s="4">
        <f t="shared" si="7"/>
        <v>-33.5</v>
      </c>
      <c r="X5" s="6" t="s">
        <v>71</v>
      </c>
      <c r="Y5" s="50">
        <f>SUM((AA5*3)+AB5)</f>
        <v>11</v>
      </c>
      <c r="Z5" s="50">
        <f>SUM(AA5+AB5+AC5)</f>
        <v>5</v>
      </c>
      <c r="AA5" s="49">
        <f>COUNTIFS($G$3:$G$228,X5,$B$3:$B$228,"V")+COUNTIFS($K$3:$K$228,X5,$P$3:$P$228,"V")</f>
        <v>3</v>
      </c>
      <c r="AB5" s="49">
        <f>COUNTIFS($G$3:$G$228,X5,$B$3:$B$228,"E",$H$3:$H$228,"&lt;&gt;"&amp;"")+COUNTIFS($K$3:$K$228,X5,$P$3:$P$228,"E",$J$3:$J$228,"&lt;&gt;"&amp;"")</f>
        <v>2</v>
      </c>
      <c r="AC5" s="49">
        <f>COUNTIFS($G$3:$G$228,X5,$B$3:$B$228,"D")+COUNTIFS($K$3:$K$228,X5,$P$3:$P$228,"D")</f>
        <v>0</v>
      </c>
      <c r="AD5" s="49">
        <f>SUMIFS($C$3:$C$228,$G$3:$G$228,X5)+SUMIFS($O$3:$O$228,$K$3:$K$228,X5)</f>
        <v>479.19</v>
      </c>
      <c r="AE5" s="49">
        <f>SUMIFS($D$3:$D$228,$G$3:$G$228,X5)+SUMIFS($N$3:$N$228,$K$3:$K$228,X5)</f>
        <v>434.26</v>
      </c>
      <c r="AF5" s="71">
        <f>SUM(AD5-AE5)</f>
        <v>44.930000000000007</v>
      </c>
      <c r="AG5" s="23">
        <f>SUM(AD5/Z5)</f>
        <v>95.837999999999994</v>
      </c>
    </row>
    <row r="6" spans="1:33" ht="17.25" customHeight="1" x14ac:dyDescent="0.25">
      <c r="A6" s="4">
        <f t="shared" si="0"/>
        <v>13.289999999999992</v>
      </c>
      <c r="B6" s="4" t="str">
        <f t="shared" si="1"/>
        <v>V</v>
      </c>
      <c r="C6" s="4">
        <f t="shared" si="2"/>
        <v>107.91</v>
      </c>
      <c r="D6" s="4">
        <f t="shared" si="3"/>
        <v>94.62</v>
      </c>
      <c r="E6" s="3"/>
      <c r="F6" s="54" t="s">
        <v>98</v>
      </c>
      <c r="G6" s="55" t="s">
        <v>99</v>
      </c>
      <c r="H6" s="68">
        <v>107.91</v>
      </c>
      <c r="I6" s="1" t="s">
        <v>52</v>
      </c>
      <c r="J6" s="1">
        <v>94.62</v>
      </c>
      <c r="K6" s="55" t="s">
        <v>74</v>
      </c>
      <c r="L6" s="54" t="s">
        <v>65</v>
      </c>
      <c r="M6" s="3"/>
      <c r="N6" s="4">
        <f t="shared" si="4"/>
        <v>107.91</v>
      </c>
      <c r="O6" s="4">
        <f t="shared" si="5"/>
        <v>94.62</v>
      </c>
      <c r="P6" s="4" t="str">
        <f t="shared" si="6"/>
        <v>D</v>
      </c>
      <c r="Q6" s="4">
        <f t="shared" si="7"/>
        <v>-13.289999999999992</v>
      </c>
      <c r="X6" s="6" t="s">
        <v>100</v>
      </c>
      <c r="Y6" s="58">
        <f>SUM((AA6*3)+AB6)</f>
        <v>10</v>
      </c>
      <c r="Z6" s="58">
        <f>SUM(AA6+AB6+AC6)</f>
        <v>5</v>
      </c>
      <c r="AA6" s="58">
        <f>COUNTIFS($G$3:$G$228,X6,$B$3:$B$228,"V")+COUNTIFS($K$3:$K$228,X6,$P$3:$P$228,"V")</f>
        <v>3</v>
      </c>
      <c r="AB6" s="58">
        <f>COUNTIFS($G$3:$G$228,X6,$B$3:$B$228,"E",$H$3:$H$228,"&lt;&gt;"&amp;"")+COUNTIFS($K$3:$K$228,X6,$P$3:$P$228,"E",$J$3:$J$228,"&lt;&gt;"&amp;"")</f>
        <v>1</v>
      </c>
      <c r="AC6" s="58">
        <f>COUNTIFS($G$3:$G$228,X6,$B$3:$B$228,"D")+COUNTIFS($K$3:$K$228,X6,$P$3:$P$228,"D")</f>
        <v>1</v>
      </c>
      <c r="AD6" s="58">
        <f>SUMIFS($C$3:$C$228,$G$3:$G$228,X6)+SUMIFS($O$3:$O$228,$K$3:$K$228,X6)</f>
        <v>445.09999999999997</v>
      </c>
      <c r="AE6" s="58">
        <f>SUMIFS($D$3:$D$228,$G$3:$G$228,X6)+SUMIFS($N$3:$N$228,$K$3:$K$228,X6)</f>
        <v>373.2</v>
      </c>
      <c r="AF6" s="58">
        <f>SUM(AD6-AE6)</f>
        <v>71.899999999999977</v>
      </c>
      <c r="AG6" s="23">
        <f>SUM(AD6/Z6)</f>
        <v>89.02</v>
      </c>
    </row>
    <row r="7" spans="1:33" ht="17.25" customHeight="1" x14ac:dyDescent="0.25">
      <c r="A7" s="4">
        <f t="shared" si="0"/>
        <v>-18.400000000000006</v>
      </c>
      <c r="B7" s="4" t="str">
        <f t="shared" si="1"/>
        <v>D</v>
      </c>
      <c r="C7" s="4">
        <f t="shared" si="2"/>
        <v>88.41</v>
      </c>
      <c r="D7" s="4">
        <f t="shared" si="3"/>
        <v>106.81</v>
      </c>
      <c r="E7" s="3"/>
      <c r="F7" s="54" t="s">
        <v>76</v>
      </c>
      <c r="G7" s="55" t="s">
        <v>75</v>
      </c>
      <c r="H7" s="61">
        <v>88.41</v>
      </c>
      <c r="I7" s="1" t="s">
        <v>52</v>
      </c>
      <c r="J7" s="68">
        <v>106.81</v>
      </c>
      <c r="K7" s="55" t="s">
        <v>88</v>
      </c>
      <c r="L7" s="54" t="s">
        <v>89</v>
      </c>
      <c r="M7" s="3"/>
      <c r="N7" s="4">
        <f t="shared" si="4"/>
        <v>88.41</v>
      </c>
      <c r="O7" s="4">
        <f t="shared" si="5"/>
        <v>106.81</v>
      </c>
      <c r="P7" s="4" t="str">
        <f t="shared" si="6"/>
        <v>V</v>
      </c>
      <c r="Q7" s="4">
        <f t="shared" si="7"/>
        <v>18.400000000000006</v>
      </c>
      <c r="X7" s="6" t="s">
        <v>92</v>
      </c>
      <c r="Y7" s="49">
        <f>SUM((AA7*3)+AB7)</f>
        <v>10</v>
      </c>
      <c r="Z7" s="49">
        <f>SUM(AA7+AB7+AC7)</f>
        <v>5</v>
      </c>
      <c r="AA7" s="49">
        <f>COUNTIFS($G$3:$G$228,X7,$B$3:$B$228,"V")+COUNTIFS($K$3:$K$228,X7,$P$3:$P$228,"V")</f>
        <v>3</v>
      </c>
      <c r="AB7" s="49">
        <f>COUNTIFS($G$3:$G$228,X7,$B$3:$B$228,"E",$H$3:$H$228,"&lt;&gt;"&amp;"")+COUNTIFS($K$3:$K$228,X7,$P$3:$P$228,"E",$J$3:$J$228,"&lt;&gt;"&amp;"")</f>
        <v>1</v>
      </c>
      <c r="AC7" s="49">
        <f>COUNTIFS($G$3:$G$228,X7,$B$3:$B$228,"D")+COUNTIFS($K$3:$K$228,X7,$P$3:$P$228,"D")</f>
        <v>1</v>
      </c>
      <c r="AD7" s="49">
        <f>SUMIFS($C$3:$C$228,$G$3:$G$228,X7)+SUMIFS($O$3:$O$228,$K$3:$K$228,X7)</f>
        <v>462.59999999999997</v>
      </c>
      <c r="AE7" s="49">
        <f>SUMIFS($D$3:$D$228,$G$3:$G$228,X7)+SUMIFS($N$3:$N$228,$K$3:$K$228,X7)</f>
        <v>416.26</v>
      </c>
      <c r="AF7" s="58">
        <f>SUM(AD7-AE7)</f>
        <v>46.339999999999975</v>
      </c>
      <c r="AG7" s="23">
        <f>SUM(AD7/Z7)</f>
        <v>92.52</v>
      </c>
    </row>
    <row r="8" spans="1:33" ht="17.25" customHeight="1" x14ac:dyDescent="0.25">
      <c r="A8" s="4">
        <f t="shared" si="0"/>
        <v>56.8</v>
      </c>
      <c r="B8" s="4" t="str">
        <f t="shared" si="1"/>
        <v>V</v>
      </c>
      <c r="C8" s="4">
        <f t="shared" si="2"/>
        <v>127.21</v>
      </c>
      <c r="D8" s="4">
        <f t="shared" si="3"/>
        <v>70.41</v>
      </c>
      <c r="E8" s="3"/>
      <c r="F8" s="54" t="s">
        <v>60</v>
      </c>
      <c r="G8" s="55" t="s">
        <v>100</v>
      </c>
      <c r="H8" s="68">
        <v>127.21</v>
      </c>
      <c r="I8" s="1" t="s">
        <v>52</v>
      </c>
      <c r="J8" s="61">
        <v>70.41</v>
      </c>
      <c r="K8" s="55" t="s">
        <v>90</v>
      </c>
      <c r="L8" s="54" t="s">
        <v>91</v>
      </c>
      <c r="M8" s="3"/>
      <c r="N8" s="4">
        <f t="shared" si="4"/>
        <v>127.21</v>
      </c>
      <c r="O8" s="4">
        <f t="shared" si="5"/>
        <v>70.41</v>
      </c>
      <c r="P8" s="4" t="str">
        <f t="shared" si="6"/>
        <v>D</v>
      </c>
      <c r="Q8" s="4">
        <f t="shared" si="7"/>
        <v>-56.8</v>
      </c>
      <c r="X8" s="6" t="s">
        <v>88</v>
      </c>
      <c r="Y8" s="49">
        <f>SUM((AA8*3)+AB8)</f>
        <v>10</v>
      </c>
      <c r="Z8" s="49">
        <f>SUM(AA8+AB8+AC8)</f>
        <v>5</v>
      </c>
      <c r="AA8" s="49">
        <f>COUNTIFS($G$3:$G$228,X8,$B$3:$B$228,"V")+COUNTIFS($K$3:$K$228,X8,$P$3:$P$228,"V")</f>
        <v>3</v>
      </c>
      <c r="AB8" s="49">
        <f>COUNTIFS($G$3:$G$228,X8,$B$3:$B$228,"E",$H$3:$H$228,"&lt;&gt;"&amp;"")+COUNTIFS($K$3:$K$228,X8,$P$3:$P$228,"E",$J$3:$J$228,"&lt;&gt;"&amp;"")</f>
        <v>1</v>
      </c>
      <c r="AC8" s="49">
        <f>COUNTIFS($G$3:$G$228,X8,$B$3:$B$228,"D")+COUNTIFS($K$3:$K$228,X8,$P$3:$P$228,"D")</f>
        <v>1</v>
      </c>
      <c r="AD8" s="49">
        <f>SUMIFS($C$3:$C$228,$G$3:$G$228,X8)+SUMIFS($O$3:$O$228,$K$3:$K$228,X8)</f>
        <v>482.84</v>
      </c>
      <c r="AE8" s="49">
        <f>SUMIFS($D$3:$D$228,$G$3:$G$228,X8)+SUMIFS($N$3:$N$228,$K$3:$K$228,X8)</f>
        <v>444.23</v>
      </c>
      <c r="AF8" s="49">
        <f>SUM(AD8-AE8)</f>
        <v>38.609999999999957</v>
      </c>
      <c r="AG8" s="23">
        <f>SUM(AD8/Z8)</f>
        <v>96.567999999999998</v>
      </c>
    </row>
    <row r="9" spans="1:33" ht="17.25" customHeight="1" x14ac:dyDescent="0.25">
      <c r="A9" s="4">
        <f t="shared" si="0"/>
        <v>25.400000000000006</v>
      </c>
      <c r="B9" s="4" t="str">
        <f t="shared" si="1"/>
        <v>V</v>
      </c>
      <c r="C9" s="4">
        <f t="shared" si="2"/>
        <v>111.01</v>
      </c>
      <c r="D9" s="4">
        <f t="shared" si="3"/>
        <v>85.61</v>
      </c>
      <c r="E9" s="3"/>
      <c r="F9" s="54" t="s">
        <v>68</v>
      </c>
      <c r="G9" s="55" t="s">
        <v>71</v>
      </c>
      <c r="H9" s="68">
        <v>111.01</v>
      </c>
      <c r="I9" s="1" t="s">
        <v>52</v>
      </c>
      <c r="J9" s="61">
        <v>85.61</v>
      </c>
      <c r="K9" s="55" t="s">
        <v>67</v>
      </c>
      <c r="L9" s="54" t="s">
        <v>66</v>
      </c>
      <c r="M9" s="3"/>
      <c r="N9" s="4">
        <f t="shared" si="4"/>
        <v>111.01</v>
      </c>
      <c r="O9" s="4">
        <f t="shared" si="5"/>
        <v>85.61</v>
      </c>
      <c r="P9" s="4" t="str">
        <f t="shared" si="6"/>
        <v>D</v>
      </c>
      <c r="Q9" s="4">
        <f t="shared" si="7"/>
        <v>-25.400000000000006</v>
      </c>
      <c r="X9" s="6" t="s">
        <v>64</v>
      </c>
      <c r="Y9" s="66">
        <f>SUM((AA9*3)+AB9)</f>
        <v>9</v>
      </c>
      <c r="Z9" s="66">
        <f>SUM(AA9+AB9+AC9)</f>
        <v>5</v>
      </c>
      <c r="AA9" s="58">
        <f>COUNTIFS($G$3:$G$228,X9,$B$3:$B$228,"V")+COUNTIFS($K$3:$K$228,X9,$P$3:$P$228,"V")</f>
        <v>3</v>
      </c>
      <c r="AB9" s="58">
        <f>COUNTIFS($G$3:$G$228,X9,$B$3:$B$228,"E",$H$3:$H$228,"&lt;&gt;"&amp;"")+COUNTIFS($K$3:$K$228,X9,$P$3:$P$228,"E",$J$3:$J$228,"&lt;&gt;"&amp;"")</f>
        <v>0</v>
      </c>
      <c r="AC9" s="58">
        <f>COUNTIFS($G$3:$G$228,X9,$B$3:$B$228,"D")+COUNTIFS($K$3:$K$228,X9,$P$3:$P$228,"D")</f>
        <v>2</v>
      </c>
      <c r="AD9" s="58">
        <f>SUMIFS($C$3:$C$228,$G$3:$G$228,X9)+SUMIFS($O$3:$O$228,$K$3:$K$228,X9)</f>
        <v>450.11999999999995</v>
      </c>
      <c r="AE9" s="58">
        <f>SUMIFS($D$3:$D$228,$G$3:$G$228,X9)+SUMIFS($N$3:$N$228,$K$3:$K$228,X9)</f>
        <v>388.49</v>
      </c>
      <c r="AF9" s="66">
        <f>SUM(AD9-AE9)</f>
        <v>61.629999999999939</v>
      </c>
      <c r="AG9" s="23">
        <f>SUM(AD9/Z9)</f>
        <v>90.023999999999987</v>
      </c>
    </row>
    <row r="10" spans="1:33" ht="17.25" customHeight="1" x14ac:dyDescent="0.25">
      <c r="A10" s="4">
        <f t="shared" si="0"/>
        <v>-41.3</v>
      </c>
      <c r="B10" s="4" t="str">
        <f t="shared" si="1"/>
        <v>D</v>
      </c>
      <c r="C10" s="4">
        <f t="shared" si="2"/>
        <v>75.010000000000005</v>
      </c>
      <c r="D10" s="4">
        <f t="shared" si="3"/>
        <v>116.31</v>
      </c>
      <c r="E10" s="3"/>
      <c r="F10" s="54" t="s">
        <v>62</v>
      </c>
      <c r="G10" s="55" t="s">
        <v>85</v>
      </c>
      <c r="H10" s="61">
        <v>75.010000000000005</v>
      </c>
      <c r="I10" s="1" t="s">
        <v>52</v>
      </c>
      <c r="J10" s="68">
        <v>116.31</v>
      </c>
      <c r="K10" s="55" t="s">
        <v>64</v>
      </c>
      <c r="L10" s="54" t="s">
        <v>84</v>
      </c>
      <c r="M10" s="3"/>
      <c r="N10" s="4">
        <f t="shared" si="4"/>
        <v>75.010000000000005</v>
      </c>
      <c r="O10" s="4">
        <f t="shared" si="5"/>
        <v>116.31</v>
      </c>
      <c r="P10" s="4" t="str">
        <f t="shared" si="6"/>
        <v>V</v>
      </c>
      <c r="Q10" s="4">
        <f t="shared" si="7"/>
        <v>41.3</v>
      </c>
      <c r="X10" s="6" t="s">
        <v>85</v>
      </c>
      <c r="Y10" s="66">
        <f>SUM((AA10*3)+AB10)</f>
        <v>9</v>
      </c>
      <c r="Z10" s="66">
        <f>SUM(AA10+AB10+AC10)</f>
        <v>5</v>
      </c>
      <c r="AA10" s="58">
        <f>COUNTIFS($G$3:$G$228,X10,$B$3:$B$228,"V")+COUNTIFS($K$3:$K$228,X10,$P$3:$P$228,"V")</f>
        <v>3</v>
      </c>
      <c r="AB10" s="58">
        <f>COUNTIFS($G$3:$G$228,X10,$B$3:$B$228,"E",$H$3:$H$228,"&lt;&gt;"&amp;"")+COUNTIFS($K$3:$K$228,X10,$P$3:$P$228,"E",$J$3:$J$228,"&lt;&gt;"&amp;"")</f>
        <v>0</v>
      </c>
      <c r="AC10" s="58">
        <f>COUNTIFS($G$3:$G$228,X10,$B$3:$B$228,"D")+COUNTIFS($K$3:$K$228,X10,$P$3:$P$228,"D")</f>
        <v>2</v>
      </c>
      <c r="AD10" s="58">
        <f>SUMIFS($C$3:$C$228,$G$3:$G$228,X10)+SUMIFS($O$3:$O$228,$K$3:$K$228,X10)</f>
        <v>444.62</v>
      </c>
      <c r="AE10" s="58">
        <f>SUMIFS($D$3:$D$228,$G$3:$G$228,X10)+SUMIFS($N$3:$N$228,$K$3:$K$228,X10)</f>
        <v>453.62</v>
      </c>
      <c r="AF10" s="66">
        <f>SUM(AD10-AE10)</f>
        <v>-9</v>
      </c>
      <c r="AG10" s="23">
        <f>SUM(AD10/Z10)</f>
        <v>88.924000000000007</v>
      </c>
    </row>
    <row r="11" spans="1:33" ht="17.25" customHeight="1" x14ac:dyDescent="0.25">
      <c r="A11" s="4">
        <f t="shared" si="0"/>
        <v>8.2999999999999972</v>
      </c>
      <c r="B11" s="4" t="str">
        <f t="shared" si="1"/>
        <v>V</v>
      </c>
      <c r="C11" s="4">
        <f t="shared" si="2"/>
        <v>105.31</v>
      </c>
      <c r="D11" s="4">
        <f t="shared" si="3"/>
        <v>97.01</v>
      </c>
      <c r="E11" s="3"/>
      <c r="F11" s="54" t="s">
        <v>97</v>
      </c>
      <c r="G11" s="55" t="s">
        <v>96</v>
      </c>
      <c r="H11" s="68">
        <v>105.31</v>
      </c>
      <c r="I11" s="1" t="s">
        <v>52</v>
      </c>
      <c r="J11" s="1">
        <v>97.01</v>
      </c>
      <c r="K11" s="55" t="s">
        <v>87</v>
      </c>
      <c r="L11" s="54" t="s">
        <v>63</v>
      </c>
      <c r="M11" s="3"/>
      <c r="N11" s="4">
        <f t="shared" si="4"/>
        <v>105.31</v>
      </c>
      <c r="O11" s="4">
        <f t="shared" si="5"/>
        <v>97.01</v>
      </c>
      <c r="P11" s="4" t="str">
        <f t="shared" si="6"/>
        <v>D</v>
      </c>
      <c r="Q11" s="4">
        <f t="shared" si="7"/>
        <v>-8.2999999999999972</v>
      </c>
      <c r="X11" s="6" t="s">
        <v>73</v>
      </c>
      <c r="Y11" s="58">
        <f>SUM((AA11*3)+AB11)</f>
        <v>8</v>
      </c>
      <c r="Z11" s="58">
        <f>SUM(AA11+AB11+AC11)</f>
        <v>5</v>
      </c>
      <c r="AA11" s="58">
        <f>COUNTIFS($G$3:$G$228,X11,$B$3:$B$228,"V")+COUNTIFS($K$3:$K$228,X11,$P$3:$P$228,"V")</f>
        <v>2</v>
      </c>
      <c r="AB11" s="58">
        <f>COUNTIFS($G$3:$G$228,X11,$B$3:$B$228,"E",$H$3:$H$228,"&lt;&gt;"&amp;"")+COUNTIFS($K$3:$K$228,X11,$P$3:$P$228,"E",$J$3:$J$228,"&lt;&gt;"&amp;"")</f>
        <v>2</v>
      </c>
      <c r="AC11" s="58">
        <f>COUNTIFS($G$3:$G$228,X11,$B$3:$B$228,"D")+COUNTIFS($K$3:$K$228,X11,$P$3:$P$228,"D")</f>
        <v>1</v>
      </c>
      <c r="AD11" s="58">
        <f>SUMIFS($C$3:$C$228,$G$3:$G$228,X11)+SUMIFS($O$3:$O$228,$K$3:$K$228,X11)</f>
        <v>435.01</v>
      </c>
      <c r="AE11" s="58">
        <f>SUMIFS($D$3:$D$228,$G$3:$G$228,X11)+SUMIFS($N$3:$N$228,$K$3:$K$228,X11)</f>
        <v>411.94000000000005</v>
      </c>
      <c r="AF11" s="58">
        <f>SUM(AD11-AE11)</f>
        <v>23.069999999999936</v>
      </c>
      <c r="AG11" s="23">
        <f>SUM(AD11/Z11)</f>
        <v>87.001999999999995</v>
      </c>
    </row>
    <row r="12" spans="1:33" ht="17.25" customHeight="1" x14ac:dyDescent="0.25">
      <c r="A12" s="4">
        <f t="shared" si="0"/>
        <v>-6.3999999999999915</v>
      </c>
      <c r="B12" s="4" t="str">
        <f t="shared" si="1"/>
        <v>D</v>
      </c>
      <c r="C12" s="4">
        <f t="shared" si="2"/>
        <v>94.01</v>
      </c>
      <c r="D12" s="4">
        <f t="shared" si="3"/>
        <v>100.41</v>
      </c>
      <c r="E12" s="3"/>
      <c r="F12" s="54" t="s">
        <v>61</v>
      </c>
      <c r="G12" s="55" t="s">
        <v>83</v>
      </c>
      <c r="H12" s="61">
        <v>94.01</v>
      </c>
      <c r="I12" s="1" t="s">
        <v>52</v>
      </c>
      <c r="J12" s="68">
        <v>100.41</v>
      </c>
      <c r="K12" s="55" t="s">
        <v>92</v>
      </c>
      <c r="L12" s="54" t="s">
        <v>93</v>
      </c>
      <c r="M12" s="3"/>
      <c r="N12" s="4">
        <f t="shared" si="4"/>
        <v>94.01</v>
      </c>
      <c r="O12" s="4">
        <f t="shared" si="5"/>
        <v>100.41</v>
      </c>
      <c r="P12" s="4" t="str">
        <f t="shared" si="6"/>
        <v>V</v>
      </c>
      <c r="Q12" s="4">
        <f t="shared" si="7"/>
        <v>6.3999999999999915</v>
      </c>
      <c r="X12" s="6" t="s">
        <v>99</v>
      </c>
      <c r="Y12" s="58">
        <f>SUM((AA12*3)+AB12)</f>
        <v>7</v>
      </c>
      <c r="Z12" s="58">
        <f>SUM(AA12+AB12+AC12)</f>
        <v>5</v>
      </c>
      <c r="AA12" s="58">
        <f>COUNTIFS($G$3:$G$228,X12,$B$3:$B$228,"V")+COUNTIFS($K$3:$K$228,X12,$P$3:$P$228,"V")</f>
        <v>2</v>
      </c>
      <c r="AB12" s="58">
        <f>COUNTIFS($G$3:$G$228,X12,$B$3:$B$228,"E",$H$3:$H$228,"&lt;&gt;"&amp;"")+COUNTIFS($K$3:$K$228,X12,$P$3:$P$228,"E",$J$3:$J$228,"&lt;&gt;"&amp;"")</f>
        <v>1</v>
      </c>
      <c r="AC12" s="58">
        <f>COUNTIFS($G$3:$G$228,X12,$B$3:$B$228,"D")+COUNTIFS($K$3:$K$228,X12,$P$3:$P$228,"D")</f>
        <v>2</v>
      </c>
      <c r="AD12" s="58">
        <f>SUMIFS($C$3:$C$228,$G$3:$G$228,X12)+SUMIFS($O$3:$O$228,$K$3:$K$228,X12)</f>
        <v>441.82000000000005</v>
      </c>
      <c r="AE12" s="58">
        <f>SUMIFS($D$3:$D$228,$G$3:$G$228,X12)+SUMIFS($N$3:$N$228,$K$3:$K$228,X12)</f>
        <v>437.37</v>
      </c>
      <c r="AF12" s="58">
        <f>SUM(AD12-AE12)</f>
        <v>4.4500000000000455</v>
      </c>
      <c r="AG12" s="23">
        <f>SUM(AD12/Z12)</f>
        <v>88.364000000000004</v>
      </c>
    </row>
    <row r="13" spans="1:33" ht="17.25" customHeight="1" x14ac:dyDescent="0.25">
      <c r="E13" s="3"/>
      <c r="F13" s="54" t="s">
        <v>3</v>
      </c>
      <c r="G13" s="12"/>
      <c r="H13" s="12"/>
      <c r="I13" s="12"/>
      <c r="J13" s="12"/>
      <c r="K13" s="12"/>
      <c r="L13" s="12"/>
      <c r="M13" s="3"/>
      <c r="X13" s="6" t="s">
        <v>96</v>
      </c>
      <c r="Y13" s="49">
        <f>SUM((AA13*3)+AB13)</f>
        <v>7</v>
      </c>
      <c r="Z13" s="49">
        <f>SUM(AA13+AB13+AC13)</f>
        <v>5</v>
      </c>
      <c r="AA13" s="49">
        <f>COUNTIFS($G$3:$G$228,X13,$B$3:$B$228,"V")+COUNTIFS($K$3:$K$228,X13,$P$3:$P$228,"V")</f>
        <v>2</v>
      </c>
      <c r="AB13" s="49">
        <f>COUNTIFS($G$3:$G$228,X13,$B$3:$B$228,"E",$H$3:$H$228,"&lt;&gt;"&amp;"")+COUNTIFS($K$3:$K$228,X13,$P$3:$P$228,"E",$J$3:$J$228,"&lt;&gt;"&amp;"")</f>
        <v>1</v>
      </c>
      <c r="AC13" s="49">
        <f>COUNTIFS($G$3:$G$228,X13,$B$3:$B$228,"D")+COUNTIFS($K$3:$K$228,X13,$P$3:$P$228,"D")</f>
        <v>2</v>
      </c>
      <c r="AD13" s="49">
        <f>SUMIFS($C$3:$C$228,$G$3:$G$228,X13)+SUMIFS($O$3:$O$228,$K$3:$K$228,X13)</f>
        <v>454.04</v>
      </c>
      <c r="AE13" s="49">
        <f>SUMIFS($D$3:$D$228,$G$3:$G$228,X13)+SUMIFS($N$3:$N$228,$K$3:$K$228,X13)</f>
        <v>449.71000000000004</v>
      </c>
      <c r="AF13" s="49">
        <f>SUM(AD13-AE13)</f>
        <v>4.3299999999999841</v>
      </c>
      <c r="AG13" s="23">
        <f>SUM(AD13/Z13)</f>
        <v>90.808000000000007</v>
      </c>
    </row>
    <row r="14" spans="1:33" ht="17.25" customHeight="1" x14ac:dyDescent="0.25">
      <c r="E14" s="3"/>
      <c r="F14" s="1" t="s">
        <v>1</v>
      </c>
      <c r="G14" s="54" t="s">
        <v>2</v>
      </c>
      <c r="H14" s="1"/>
      <c r="I14" s="1"/>
      <c r="J14" s="1"/>
      <c r="K14" s="54" t="s">
        <v>2</v>
      </c>
      <c r="L14" s="1" t="s">
        <v>1</v>
      </c>
      <c r="M14" s="3"/>
      <c r="X14" s="6" t="s">
        <v>67</v>
      </c>
      <c r="Y14" s="49">
        <f>SUM((AA14*3)+AB14)</f>
        <v>7</v>
      </c>
      <c r="Z14" s="49">
        <f>SUM(AA14+AB14+AC14)</f>
        <v>5</v>
      </c>
      <c r="AA14" s="49">
        <f>COUNTIFS($G$3:$G$228,X14,$B$3:$B$228,"V")+COUNTIFS($K$3:$K$228,X14,$P$3:$P$228,"V")</f>
        <v>2</v>
      </c>
      <c r="AB14" s="49">
        <f>COUNTIFS($G$3:$G$228,X14,$B$3:$B$228,"E",$H$3:$H$228,"&lt;&gt;"&amp;"")+COUNTIFS($K$3:$K$228,X14,$P$3:$P$228,"E",$J$3:$J$228,"&lt;&gt;"&amp;"")</f>
        <v>1</v>
      </c>
      <c r="AC14" s="49">
        <f>COUNTIFS($G$3:$G$228,X14,$B$3:$B$228,"D")+COUNTIFS($K$3:$K$228,X14,$P$3:$P$228,"D")</f>
        <v>2</v>
      </c>
      <c r="AD14" s="49">
        <f>SUMIFS($C$3:$C$228,$G$3:$G$228,X14)+SUMIFS($O$3:$O$228,$K$3:$K$228,X14)</f>
        <v>414.01</v>
      </c>
      <c r="AE14" s="49">
        <f>SUMIFS($D$3:$D$228,$G$3:$G$228,X14)+SUMIFS($N$3:$N$228,$K$3:$K$228,X14)</f>
        <v>443.04</v>
      </c>
      <c r="AF14" s="58">
        <f>SUM(AD14-AE14)</f>
        <v>-29.03000000000003</v>
      </c>
      <c r="AG14" s="23">
        <f>SUM(AD14/Z14)</f>
        <v>82.801999999999992</v>
      </c>
    </row>
    <row r="15" spans="1:33" ht="17.25" customHeight="1" x14ac:dyDescent="0.25">
      <c r="A15" s="4">
        <f t="shared" si="0"/>
        <v>-2.3199999999999932</v>
      </c>
      <c r="B15" s="4" t="str">
        <f t="shared" ref="B15:B78" si="8">_xlfn.IFS(A15&gt;=5,"V",A15&lt;=-5,"D",A15&lt;=-4.99,"E",A15&lt;=4.99,"E")</f>
        <v>E</v>
      </c>
      <c r="C15" s="4">
        <f t="shared" si="2"/>
        <v>63.06</v>
      </c>
      <c r="D15" s="4">
        <f t="shared" si="3"/>
        <v>65.38</v>
      </c>
      <c r="E15" s="3"/>
      <c r="F15" s="54" t="s">
        <v>91</v>
      </c>
      <c r="G15" s="55" t="s">
        <v>90</v>
      </c>
      <c r="H15" s="69">
        <v>63.06</v>
      </c>
      <c r="I15" s="1" t="s">
        <v>52</v>
      </c>
      <c r="J15" s="69">
        <v>65.38</v>
      </c>
      <c r="K15" s="55" t="s">
        <v>73</v>
      </c>
      <c r="L15" s="54" t="s">
        <v>72</v>
      </c>
      <c r="M15" s="3"/>
      <c r="N15" s="4">
        <f t="shared" si="4"/>
        <v>63.06</v>
      </c>
      <c r="O15" s="4">
        <f t="shared" si="5"/>
        <v>65.38</v>
      </c>
      <c r="P15" s="4" t="str">
        <f t="shared" si="6"/>
        <v>E</v>
      </c>
      <c r="Q15" s="4">
        <f t="shared" si="7"/>
        <v>2.3199999999999932</v>
      </c>
      <c r="X15" s="6" t="s">
        <v>94</v>
      </c>
      <c r="Y15" s="58">
        <f>SUM((AA15*3)+AB15)</f>
        <v>6</v>
      </c>
      <c r="Z15" s="58">
        <f>SUM(AA15+AB15+AC15)</f>
        <v>5</v>
      </c>
      <c r="AA15" s="58">
        <f>COUNTIFS($G$3:$G$228,X15,$B$3:$B$228,"V")+COUNTIFS($K$3:$K$228,X15,$P$3:$P$228,"V")</f>
        <v>2</v>
      </c>
      <c r="AB15" s="58">
        <f>COUNTIFS($G$3:$G$228,X15,$B$3:$B$228,"E",$H$3:$H$228,"&lt;&gt;"&amp;"")+COUNTIFS($K$3:$K$228,X15,$P$3:$P$228,"E",$J$3:$J$228,"&lt;&gt;"&amp;"")</f>
        <v>0</v>
      </c>
      <c r="AC15" s="58">
        <f>COUNTIFS($G$3:$G$228,X15,$B$3:$B$228,"D")+COUNTIFS($K$3:$K$228,X15,$P$3:$P$228,"D")</f>
        <v>3</v>
      </c>
      <c r="AD15" s="58">
        <f>SUMIFS($C$3:$C$228,$G$3:$G$228,X15)+SUMIFS($O$3:$O$228,$K$3:$K$228,X15)</f>
        <v>429.44000000000005</v>
      </c>
      <c r="AE15" s="58">
        <f>SUMIFS($D$3:$D$228,$G$3:$G$228,X15)+SUMIFS($N$3:$N$228,$K$3:$K$228,X15)</f>
        <v>465.31</v>
      </c>
      <c r="AF15" s="58">
        <f>SUM(AD15-AE15)</f>
        <v>-35.869999999999948</v>
      </c>
      <c r="AG15" s="23">
        <f>SUM(AD15/Z15)</f>
        <v>85.888000000000005</v>
      </c>
    </row>
    <row r="16" spans="1:33" ht="17.25" customHeight="1" x14ac:dyDescent="0.25">
      <c r="A16" s="4">
        <f t="shared" si="0"/>
        <v>-11.849999999999994</v>
      </c>
      <c r="B16" s="4" t="str">
        <f t="shared" si="8"/>
        <v>D</v>
      </c>
      <c r="C16" s="4">
        <f t="shared" si="2"/>
        <v>82.65</v>
      </c>
      <c r="D16" s="4">
        <f t="shared" si="3"/>
        <v>94.5</v>
      </c>
      <c r="E16" s="3"/>
      <c r="F16" s="54" t="s">
        <v>95</v>
      </c>
      <c r="G16" s="55" t="s">
        <v>94</v>
      </c>
      <c r="H16" s="61">
        <v>82.65</v>
      </c>
      <c r="I16" s="1" t="s">
        <v>52</v>
      </c>
      <c r="J16" s="68">
        <v>94.5</v>
      </c>
      <c r="K16" s="55" t="s">
        <v>71</v>
      </c>
      <c r="L16" s="54" t="s">
        <v>68</v>
      </c>
      <c r="M16" s="3"/>
      <c r="N16" s="4">
        <f t="shared" si="4"/>
        <v>82.65</v>
      </c>
      <c r="O16" s="4">
        <f t="shared" si="5"/>
        <v>94.5</v>
      </c>
      <c r="P16" s="4" t="str">
        <f t="shared" si="6"/>
        <v>V</v>
      </c>
      <c r="Q16" s="4">
        <f t="shared" si="7"/>
        <v>11.849999999999994</v>
      </c>
      <c r="X16" s="6" t="s">
        <v>79</v>
      </c>
      <c r="Y16" s="58">
        <f>SUM((AA16*3)+AB16)</f>
        <v>6</v>
      </c>
      <c r="Z16" s="58">
        <f>SUM(AA16+AB16+AC16)</f>
        <v>5</v>
      </c>
      <c r="AA16" s="58">
        <f>COUNTIFS($G$3:$G$228,X16,$B$3:$B$228,"V")+COUNTIFS($K$3:$K$228,X16,$P$3:$P$228,"V")</f>
        <v>1</v>
      </c>
      <c r="AB16" s="58">
        <f>COUNTIFS($G$3:$G$228,X16,$B$3:$B$228,"E",$H$3:$H$228,"&lt;&gt;"&amp;"")+COUNTIFS($K$3:$K$228,X16,$P$3:$P$228,"E",$J$3:$J$228,"&lt;&gt;"&amp;"")</f>
        <v>3</v>
      </c>
      <c r="AC16" s="58">
        <f>COUNTIFS($G$3:$G$228,X16,$B$3:$B$228,"D")+COUNTIFS($K$3:$K$228,X16,$P$3:$P$228,"D")</f>
        <v>1</v>
      </c>
      <c r="AD16" s="58">
        <f>SUMIFS($C$3:$C$228,$G$3:$G$228,X16)+SUMIFS($O$3:$O$228,$K$3:$K$228,X16)</f>
        <v>447.48</v>
      </c>
      <c r="AE16" s="58">
        <f>SUMIFS($D$3:$D$228,$G$3:$G$228,X16)+SUMIFS($N$3:$N$228,$K$3:$K$228,X16)</f>
        <v>455.40999999999997</v>
      </c>
      <c r="AF16" s="58">
        <f>SUM(AD16-AE16)</f>
        <v>-7.92999999999995</v>
      </c>
      <c r="AG16" s="23">
        <f>SUM(AD16/Z16)</f>
        <v>89.496000000000009</v>
      </c>
    </row>
    <row r="17" spans="1:33" ht="17.25" customHeight="1" x14ac:dyDescent="0.25">
      <c r="A17" s="4">
        <f t="shared" si="0"/>
        <v>11.700000000000003</v>
      </c>
      <c r="B17" s="4" t="str">
        <f t="shared" si="8"/>
        <v>V</v>
      </c>
      <c r="C17" s="4">
        <f t="shared" si="2"/>
        <v>92.45</v>
      </c>
      <c r="D17" s="4">
        <f t="shared" si="3"/>
        <v>80.75</v>
      </c>
      <c r="E17" s="3"/>
      <c r="F17" s="54" t="s">
        <v>93</v>
      </c>
      <c r="G17" s="55" t="s">
        <v>92</v>
      </c>
      <c r="H17" s="68">
        <v>92.45</v>
      </c>
      <c r="I17" s="1" t="s">
        <v>52</v>
      </c>
      <c r="J17" s="61">
        <v>80.75</v>
      </c>
      <c r="K17" s="55" t="s">
        <v>96</v>
      </c>
      <c r="L17" s="54" t="s">
        <v>97</v>
      </c>
      <c r="M17" s="3"/>
      <c r="N17" s="4">
        <f t="shared" si="4"/>
        <v>92.45</v>
      </c>
      <c r="O17" s="4">
        <f t="shared" si="5"/>
        <v>80.75</v>
      </c>
      <c r="P17" s="4" t="str">
        <f t="shared" si="6"/>
        <v>D</v>
      </c>
      <c r="Q17" s="4">
        <f t="shared" si="7"/>
        <v>-11.700000000000003</v>
      </c>
      <c r="X17" s="6" t="s">
        <v>77</v>
      </c>
      <c r="Y17" s="49">
        <f>SUM((AA17*3)+AB17)</f>
        <v>6</v>
      </c>
      <c r="Z17" s="49">
        <f>SUM(AA17+AB17+AC17)</f>
        <v>5</v>
      </c>
      <c r="AA17" s="49">
        <f>COUNTIFS($G$3:$G$228,X17,$B$3:$B$228,"V")+COUNTIFS($K$3:$K$228,X17,$P$3:$P$228,"V")</f>
        <v>1</v>
      </c>
      <c r="AB17" s="49">
        <f>COUNTIFS($G$3:$G$228,X17,$B$3:$B$228,"E",$H$3:$H$228,"&lt;&gt;"&amp;"")+COUNTIFS($K$3:$K$228,X17,$P$3:$P$228,"E",$J$3:$J$228,"&lt;&gt;"&amp;"")</f>
        <v>3</v>
      </c>
      <c r="AC17" s="49">
        <f>COUNTIFS($G$3:$G$228,X17,$B$3:$B$228,"D")+COUNTIFS($K$3:$K$228,X17,$P$3:$P$228,"D")</f>
        <v>1</v>
      </c>
      <c r="AD17" s="49">
        <f>SUMIFS($C$3:$C$228,$G$3:$G$228,X17)+SUMIFS($O$3:$O$228,$K$3:$K$228,X17)</f>
        <v>429.75</v>
      </c>
      <c r="AE17" s="49">
        <f>SUMIFS($D$3:$D$228,$G$3:$G$228,X17)+SUMIFS($N$3:$N$228,$K$3:$K$228,X17)</f>
        <v>438.25</v>
      </c>
      <c r="AF17" s="49">
        <f>SUM(AD17-AE17)</f>
        <v>-8.5</v>
      </c>
      <c r="AG17" s="23">
        <f>SUM(AD17/Z17)</f>
        <v>85.95</v>
      </c>
    </row>
    <row r="18" spans="1:33" ht="17.25" customHeight="1" x14ac:dyDescent="0.25">
      <c r="A18" s="4">
        <f t="shared" si="0"/>
        <v>12.690000000000012</v>
      </c>
      <c r="B18" s="4" t="str">
        <f t="shared" si="8"/>
        <v>V</v>
      </c>
      <c r="C18" s="4">
        <f t="shared" si="2"/>
        <v>89.4</v>
      </c>
      <c r="D18" s="4">
        <f t="shared" si="3"/>
        <v>76.709999999999994</v>
      </c>
      <c r="E18" s="3"/>
      <c r="F18" s="54" t="s">
        <v>65</v>
      </c>
      <c r="G18" s="55" t="s">
        <v>74</v>
      </c>
      <c r="H18" s="54">
        <v>89.4</v>
      </c>
      <c r="I18" s="1" t="s">
        <v>52</v>
      </c>
      <c r="J18" s="61">
        <v>76.709999999999994</v>
      </c>
      <c r="K18" s="55" t="s">
        <v>77</v>
      </c>
      <c r="L18" s="54" t="s">
        <v>78</v>
      </c>
      <c r="M18" s="3"/>
      <c r="N18" s="4">
        <f t="shared" si="4"/>
        <v>89.4</v>
      </c>
      <c r="O18" s="4">
        <f t="shared" si="5"/>
        <v>76.709999999999994</v>
      </c>
      <c r="P18" s="4" t="str">
        <f t="shared" si="6"/>
        <v>D</v>
      </c>
      <c r="Q18" s="4">
        <f t="shared" si="7"/>
        <v>-12.690000000000012</v>
      </c>
      <c r="X18" s="6" t="s">
        <v>75</v>
      </c>
      <c r="Y18" s="49">
        <f>SUM((AA18*3)+AB18)</f>
        <v>4</v>
      </c>
      <c r="Z18" s="49">
        <f>SUM(AA18+AB18+AC18)</f>
        <v>5</v>
      </c>
      <c r="AA18" s="49">
        <f>COUNTIFS($G$3:$G$228,X18,$B$3:$B$228,"V")+COUNTIFS($K$3:$K$228,X18,$P$3:$P$228,"V")</f>
        <v>1</v>
      </c>
      <c r="AB18" s="49">
        <f>COUNTIFS($G$3:$G$228,X18,$B$3:$B$228,"E",$H$3:$H$228,"&lt;&gt;"&amp;"")+COUNTIFS($K$3:$K$228,X18,$P$3:$P$228,"E",$J$3:$J$228,"&lt;&gt;"&amp;"")</f>
        <v>1</v>
      </c>
      <c r="AC18" s="49">
        <f>COUNTIFS($G$3:$G$228,X18,$B$3:$B$228,"D")+COUNTIFS($K$3:$K$228,X18,$P$3:$P$228,"D")</f>
        <v>3</v>
      </c>
      <c r="AD18" s="49">
        <f>SUMIFS($C$3:$C$228,$G$3:$G$228,X18)+SUMIFS($O$3:$O$228,$K$3:$K$228,X18)</f>
        <v>403.90999999999997</v>
      </c>
      <c r="AE18" s="49">
        <f>SUMIFS($D$3:$D$228,$G$3:$G$228,X18)+SUMIFS($N$3:$N$228,$K$3:$K$228,X18)</f>
        <v>441.59999999999997</v>
      </c>
      <c r="AF18" s="49">
        <f>SUM(AD18-AE18)</f>
        <v>-37.69</v>
      </c>
      <c r="AG18" s="23">
        <f>SUM(AD18/Z18)</f>
        <v>80.781999999999996</v>
      </c>
    </row>
    <row r="19" spans="1:33" ht="17.25" customHeight="1" x14ac:dyDescent="0.25">
      <c r="A19" s="4">
        <f t="shared" si="0"/>
        <v>-5.9599999999999937</v>
      </c>
      <c r="B19" s="4" t="str">
        <f t="shared" si="8"/>
        <v>D</v>
      </c>
      <c r="C19" s="4">
        <f t="shared" si="2"/>
        <v>79.150000000000006</v>
      </c>
      <c r="D19" s="4">
        <f t="shared" si="3"/>
        <v>85.11</v>
      </c>
      <c r="E19" s="3"/>
      <c r="F19" s="54" t="s">
        <v>82</v>
      </c>
      <c r="G19" s="55" t="s">
        <v>81</v>
      </c>
      <c r="H19" s="61">
        <v>79.150000000000006</v>
      </c>
      <c r="I19" s="1" t="s">
        <v>52</v>
      </c>
      <c r="J19" s="68">
        <v>85.11</v>
      </c>
      <c r="K19" s="55" t="s">
        <v>75</v>
      </c>
      <c r="L19" s="54" t="s">
        <v>76</v>
      </c>
      <c r="M19" s="3"/>
      <c r="N19" s="4">
        <f t="shared" si="4"/>
        <v>79.150000000000006</v>
      </c>
      <c r="O19" s="4">
        <f t="shared" si="5"/>
        <v>85.11</v>
      </c>
      <c r="P19" s="4" t="str">
        <f t="shared" si="6"/>
        <v>V</v>
      </c>
      <c r="Q19" s="4">
        <f t="shared" si="7"/>
        <v>5.9599999999999937</v>
      </c>
      <c r="X19" s="51" t="s">
        <v>81</v>
      </c>
      <c r="Y19" s="49">
        <f>SUM((AA19*3)+AB19)</f>
        <v>2</v>
      </c>
      <c r="Z19" s="49">
        <f>SUM(AA19+AB19+AC19)</f>
        <v>5</v>
      </c>
      <c r="AA19" s="49">
        <f>COUNTIFS($G$3:$G$228,X19,$B$3:$B$228,"V")+COUNTIFS($K$3:$K$228,X19,$P$3:$P$228,"V")</f>
        <v>0</v>
      </c>
      <c r="AB19" s="49">
        <f>COUNTIFS($G$3:$G$228,X19,$B$3:$B$228,"E",$H$3:$H$228,"&lt;&gt;"&amp;"")+COUNTIFS($K$3:$K$228,X19,$P$3:$P$228,"E",$J$3:$J$228,"&lt;&gt;"&amp;"")</f>
        <v>2</v>
      </c>
      <c r="AC19" s="49">
        <f>COUNTIFS($G$3:$G$228,X19,$B$3:$B$228,"D")+COUNTIFS($K$3:$K$228,X19,$P$3:$P$228,"D")</f>
        <v>3</v>
      </c>
      <c r="AD19" s="49">
        <f>SUMIFS($C$3:$C$228,$G$3:$G$228,X19)+SUMIFS($O$3:$O$228,$K$3:$K$228,X19)</f>
        <v>417.82</v>
      </c>
      <c r="AE19" s="49">
        <f>SUMIFS($D$3:$D$228,$G$3:$G$228,X19)+SUMIFS($N$3:$N$228,$K$3:$K$228,X19)</f>
        <v>445.53</v>
      </c>
      <c r="AF19" s="58">
        <f>SUM(AD19-AE19)</f>
        <v>-27.70999999999998</v>
      </c>
      <c r="AG19" s="23">
        <f>SUM(AD19/Z19)</f>
        <v>83.563999999999993</v>
      </c>
    </row>
    <row r="20" spans="1:33" ht="17.25" customHeight="1" x14ac:dyDescent="0.25">
      <c r="A20" s="4">
        <f t="shared" si="0"/>
        <v>-11.86</v>
      </c>
      <c r="B20" s="4" t="str">
        <f t="shared" si="8"/>
        <v>D</v>
      </c>
      <c r="C20" s="4">
        <f t="shared" si="2"/>
        <v>76.25</v>
      </c>
      <c r="D20" s="4">
        <f t="shared" si="3"/>
        <v>88.11</v>
      </c>
      <c r="E20" s="3"/>
      <c r="F20" s="54" t="s">
        <v>84</v>
      </c>
      <c r="G20" s="55" t="s">
        <v>64</v>
      </c>
      <c r="H20" s="61">
        <v>76.25</v>
      </c>
      <c r="I20" s="1" t="s">
        <v>52</v>
      </c>
      <c r="J20" s="68">
        <v>88.11</v>
      </c>
      <c r="K20" s="55" t="s">
        <v>99</v>
      </c>
      <c r="L20" s="54" t="s">
        <v>98</v>
      </c>
      <c r="M20" s="3"/>
      <c r="N20" s="4">
        <f t="shared" si="4"/>
        <v>76.25</v>
      </c>
      <c r="O20" s="4">
        <f t="shared" si="5"/>
        <v>88.11</v>
      </c>
      <c r="P20" s="4" t="str">
        <f t="shared" si="6"/>
        <v>V</v>
      </c>
      <c r="Q20" s="4">
        <f t="shared" si="7"/>
        <v>11.86</v>
      </c>
      <c r="X20" s="6" t="s">
        <v>83</v>
      </c>
      <c r="Y20" s="58">
        <f>SUM((AA20*3)+AB20)</f>
        <v>1</v>
      </c>
      <c r="Z20" s="58">
        <f>SUM(AA20+AB20+AC20)</f>
        <v>5</v>
      </c>
      <c r="AA20" s="58">
        <f>COUNTIFS($G$3:$G$228,X20,$B$3:$B$228,"V")+COUNTIFS($K$3:$K$228,X20,$P$3:$P$228,"V")</f>
        <v>0</v>
      </c>
      <c r="AB20" s="58">
        <f>COUNTIFS($G$3:$G$228,X20,$B$3:$B$228,"E",$H$3:$H$228,"&lt;&gt;"&amp;"")+COUNTIFS($K$3:$K$228,X20,$P$3:$P$228,"E",$J$3:$J$228,"&lt;&gt;"&amp;"")</f>
        <v>1</v>
      </c>
      <c r="AC20" s="58">
        <f>COUNTIFS($G$3:$G$228,X20,$B$3:$B$228,"D")+COUNTIFS($K$3:$K$228,X20,$P$3:$P$228,"D")</f>
        <v>4</v>
      </c>
      <c r="AD20" s="58">
        <f>SUMIFS($C$3:$C$228,$G$3:$G$228,X20)+SUMIFS($O$3:$O$228,$K$3:$K$228,X20)</f>
        <v>413.28</v>
      </c>
      <c r="AE20" s="58">
        <f>SUMIFS($D$3:$D$228,$G$3:$G$228,X20)+SUMIFS($N$3:$N$228,$K$3:$K$228,X20)</f>
        <v>454.89</v>
      </c>
      <c r="AF20" s="58">
        <f>SUM(AD20-AE20)</f>
        <v>-41.610000000000014</v>
      </c>
      <c r="AG20" s="23">
        <f>SUM(AD20/Z20)</f>
        <v>82.655999999999992</v>
      </c>
    </row>
    <row r="21" spans="1:33" ht="17.25" customHeight="1" x14ac:dyDescent="0.25">
      <c r="A21" s="4">
        <f t="shared" si="0"/>
        <v>-22.299999999999997</v>
      </c>
      <c r="B21" s="4" t="str">
        <f t="shared" si="8"/>
        <v>D</v>
      </c>
      <c r="C21" s="4">
        <f t="shared" si="2"/>
        <v>75.28</v>
      </c>
      <c r="D21" s="4">
        <f t="shared" si="3"/>
        <v>97.58</v>
      </c>
      <c r="E21" s="3"/>
      <c r="F21" s="54" t="s">
        <v>70</v>
      </c>
      <c r="G21" s="55" t="s">
        <v>69</v>
      </c>
      <c r="H21" s="61">
        <v>75.28</v>
      </c>
      <c r="I21" s="1" t="s">
        <v>52</v>
      </c>
      <c r="J21" s="68">
        <v>97.58</v>
      </c>
      <c r="K21" s="55" t="s">
        <v>85</v>
      </c>
      <c r="L21" s="54" t="s">
        <v>62</v>
      </c>
      <c r="M21" s="3"/>
      <c r="N21" s="4">
        <f t="shared" si="4"/>
        <v>75.28</v>
      </c>
      <c r="O21" s="4">
        <f t="shared" si="5"/>
        <v>97.58</v>
      </c>
      <c r="P21" s="4" t="str">
        <f t="shared" si="6"/>
        <v>V</v>
      </c>
      <c r="Q21" s="4">
        <f t="shared" si="7"/>
        <v>22.299999999999997</v>
      </c>
      <c r="X21" s="6" t="s">
        <v>69</v>
      </c>
      <c r="Y21" s="66">
        <f>SUM((AA21*3)+AB21)</f>
        <v>1</v>
      </c>
      <c r="Z21" s="66">
        <f>SUM(AA21+AB21+AC21)</f>
        <v>5</v>
      </c>
      <c r="AA21" s="58">
        <f>COUNTIFS($G$3:$G$228,X21,$B$3:$B$228,"V")+COUNTIFS($K$3:$K$228,X21,$P$3:$P$228,"V")</f>
        <v>0</v>
      </c>
      <c r="AB21" s="58">
        <f>COUNTIFS($G$3:$G$228,X21,$B$3:$B$228,"E",$H$3:$H$228,"&lt;&gt;"&amp;"")+COUNTIFS($K$3:$K$228,X21,$P$3:$P$228,"E",$J$3:$J$228,"&lt;&gt;"&amp;"")</f>
        <v>1</v>
      </c>
      <c r="AC21" s="58">
        <f>COUNTIFS($G$3:$G$228,X21,$B$3:$B$228,"D")+COUNTIFS($K$3:$K$228,X21,$P$3:$P$228,"D")</f>
        <v>4</v>
      </c>
      <c r="AD21" s="58">
        <f>SUMIFS($C$3:$C$228,$G$3:$G$228,X21)+SUMIFS($O$3:$O$228,$K$3:$K$228,X21)</f>
        <v>404.69000000000005</v>
      </c>
      <c r="AE21" s="58">
        <f>SUMIFS($D$3:$D$228,$G$3:$G$228,X21)+SUMIFS($N$3:$N$228,$K$3:$K$228,X21)</f>
        <v>473.13</v>
      </c>
      <c r="AF21" s="66">
        <f>SUM(AD21-AE21)</f>
        <v>-68.439999999999941</v>
      </c>
      <c r="AG21" s="23">
        <f>SUM(AD21/Z21)</f>
        <v>80.938000000000017</v>
      </c>
    </row>
    <row r="22" spans="1:33" ht="17.25" customHeight="1" x14ac:dyDescent="0.25">
      <c r="A22" s="4">
        <f t="shared" si="0"/>
        <v>5.6000000000000085</v>
      </c>
      <c r="B22" s="4" t="str">
        <f t="shared" si="8"/>
        <v>V</v>
      </c>
      <c r="C22" s="4">
        <f t="shared" si="2"/>
        <v>84.15</v>
      </c>
      <c r="D22" s="4">
        <f t="shared" si="3"/>
        <v>78.55</v>
      </c>
      <c r="E22" s="3"/>
      <c r="F22" s="54" t="s">
        <v>63</v>
      </c>
      <c r="G22" s="55" t="s">
        <v>87</v>
      </c>
      <c r="H22" s="54">
        <v>84.15</v>
      </c>
      <c r="I22" s="1" t="s">
        <v>52</v>
      </c>
      <c r="J22" s="61">
        <v>78.55</v>
      </c>
      <c r="K22" s="55" t="s">
        <v>83</v>
      </c>
      <c r="L22" s="54" t="s">
        <v>61</v>
      </c>
      <c r="M22" s="3"/>
      <c r="N22" s="4">
        <f t="shared" si="4"/>
        <v>84.15</v>
      </c>
      <c r="O22" s="4">
        <f t="shared" si="5"/>
        <v>78.55</v>
      </c>
      <c r="P22" s="4" t="str">
        <f t="shared" si="6"/>
        <v>D</v>
      </c>
      <c r="Q22" s="4">
        <f t="shared" si="7"/>
        <v>-5.6000000000000085</v>
      </c>
      <c r="X22" s="52" t="s">
        <v>90</v>
      </c>
      <c r="Y22" s="33">
        <f>SUM((AA22*3)+AB22)</f>
        <v>1</v>
      </c>
      <c r="Z22" s="33">
        <f>SUM(AA22+AB22+AC22)</f>
        <v>5</v>
      </c>
      <c r="AA22" s="33">
        <f>COUNTIFS($G$3:$G$228,X22,$B$3:$B$228,"V")+COUNTIFS($K$3:$K$228,X22,$P$3:$P$228,"V")</f>
        <v>0</v>
      </c>
      <c r="AB22" s="33">
        <f>COUNTIFS($G$3:$G$228,X22,$B$3:$B$228,"E",$H$3:$H$228,"&lt;&gt;"&amp;"")+COUNTIFS($K$3:$K$228,X22,$P$3:$P$228,"E",$J$3:$J$228,"&lt;&gt;"&amp;"")</f>
        <v>1</v>
      </c>
      <c r="AC22" s="33">
        <f>COUNTIFS($G$3:$G$228,X22,$B$3:$B$228,"D")+COUNTIFS($K$3:$K$228,X22,$P$3:$P$228,"D")</f>
        <v>4</v>
      </c>
      <c r="AD22" s="33">
        <f>SUMIFS($C$3:$C$228,$G$3:$G$228,X22)+SUMIFS($O$3:$O$228,$K$3:$K$228,X22)</f>
        <v>325.74</v>
      </c>
      <c r="AE22" s="33">
        <f>SUMIFS($D$3:$D$228,$G$3:$G$228,X22)+SUMIFS($N$3:$N$228,$K$3:$K$228,X22)</f>
        <v>441.08</v>
      </c>
      <c r="AF22" s="33">
        <f>SUM(AD22-AE22)</f>
        <v>-115.33999999999997</v>
      </c>
      <c r="AG22" s="24">
        <f>SUM(AD22/Z22)</f>
        <v>65.147999999999996</v>
      </c>
    </row>
    <row r="23" spans="1:33" ht="17.25" customHeight="1" x14ac:dyDescent="0.25">
      <c r="A23" s="4">
        <f t="shared" si="0"/>
        <v>-15.150000000000006</v>
      </c>
      <c r="B23" s="4" t="str">
        <f t="shared" si="8"/>
        <v>D</v>
      </c>
      <c r="C23" s="4">
        <f t="shared" si="2"/>
        <v>69.349999999999994</v>
      </c>
      <c r="D23" s="4">
        <f t="shared" si="3"/>
        <v>84.5</v>
      </c>
      <c r="E23" s="3"/>
      <c r="F23" s="54" t="s">
        <v>66</v>
      </c>
      <c r="G23" s="55" t="s">
        <v>67</v>
      </c>
      <c r="H23" s="61">
        <v>69.349999999999994</v>
      </c>
      <c r="I23" s="1" t="s">
        <v>52</v>
      </c>
      <c r="J23" s="68">
        <v>84.5</v>
      </c>
      <c r="K23" s="55" t="s">
        <v>100</v>
      </c>
      <c r="L23" s="54" t="s">
        <v>60</v>
      </c>
      <c r="M23" s="3"/>
      <c r="N23" s="4">
        <f t="shared" si="4"/>
        <v>69.349999999999994</v>
      </c>
      <c r="O23" s="4">
        <f t="shared" si="5"/>
        <v>84.5</v>
      </c>
      <c r="P23" s="4" t="str">
        <f t="shared" si="6"/>
        <v>V</v>
      </c>
      <c r="Q23" s="4">
        <f t="shared" si="7"/>
        <v>15.150000000000006</v>
      </c>
    </row>
    <row r="24" spans="1:33" ht="17.25" customHeight="1" x14ac:dyDescent="0.25">
      <c r="A24" s="4">
        <f t="shared" si="0"/>
        <v>-3.2900000000000063</v>
      </c>
      <c r="B24" s="4" t="str">
        <f t="shared" si="8"/>
        <v>E</v>
      </c>
      <c r="C24" s="4">
        <f t="shared" si="2"/>
        <v>91.05</v>
      </c>
      <c r="D24" s="4">
        <f t="shared" si="3"/>
        <v>94.34</v>
      </c>
      <c r="E24" s="3"/>
      <c r="F24" s="54" t="s">
        <v>89</v>
      </c>
      <c r="G24" s="55" t="s">
        <v>88</v>
      </c>
      <c r="H24" s="69">
        <v>91.05</v>
      </c>
      <c r="I24" s="1" t="s">
        <v>52</v>
      </c>
      <c r="J24" s="69">
        <v>94.34</v>
      </c>
      <c r="K24" s="55" t="s">
        <v>79</v>
      </c>
      <c r="L24" s="54" t="s">
        <v>80</v>
      </c>
      <c r="M24" s="3"/>
      <c r="N24" s="4">
        <f t="shared" si="4"/>
        <v>91.05</v>
      </c>
      <c r="O24" s="4">
        <f t="shared" si="5"/>
        <v>94.34</v>
      </c>
      <c r="P24" s="4" t="str">
        <f t="shared" si="6"/>
        <v>E</v>
      </c>
      <c r="Q24" s="4">
        <f t="shared" si="7"/>
        <v>3.2900000000000063</v>
      </c>
    </row>
    <row r="25" spans="1:33" ht="17.25" customHeight="1" x14ac:dyDescent="0.25">
      <c r="E25" s="3"/>
      <c r="F25" s="54" t="s">
        <v>4</v>
      </c>
      <c r="G25" s="12"/>
      <c r="H25" s="12"/>
      <c r="I25" s="12"/>
      <c r="J25" s="12"/>
      <c r="K25" s="12"/>
      <c r="L25" s="12"/>
      <c r="M25" s="3"/>
    </row>
    <row r="26" spans="1:33" ht="17.25" customHeight="1" x14ac:dyDescent="0.25">
      <c r="E26" s="3"/>
      <c r="F26" s="1" t="s">
        <v>1</v>
      </c>
      <c r="G26" s="54" t="s">
        <v>2</v>
      </c>
      <c r="H26" s="1"/>
      <c r="I26" s="1"/>
      <c r="J26" s="1"/>
      <c r="K26" s="54" t="s">
        <v>2</v>
      </c>
      <c r="L26" s="1" t="s">
        <v>1</v>
      </c>
      <c r="M26" s="3"/>
      <c r="X26" s="46"/>
    </row>
    <row r="27" spans="1:33" ht="17.25" customHeight="1" x14ac:dyDescent="0.25">
      <c r="A27" s="4">
        <f t="shared" si="0"/>
        <v>-29.060000000000002</v>
      </c>
      <c r="B27" s="4" t="str">
        <f t="shared" si="8"/>
        <v>D</v>
      </c>
      <c r="C27" s="4">
        <f t="shared" si="2"/>
        <v>39.950000000000003</v>
      </c>
      <c r="D27" s="4">
        <f t="shared" si="3"/>
        <v>69.010000000000005</v>
      </c>
      <c r="E27" s="3"/>
      <c r="F27" s="54" t="s">
        <v>91</v>
      </c>
      <c r="G27" s="55" t="s">
        <v>90</v>
      </c>
      <c r="H27" s="61">
        <v>39.950000000000003</v>
      </c>
      <c r="I27" s="1" t="s">
        <v>52</v>
      </c>
      <c r="J27" s="68">
        <v>69.010000000000005</v>
      </c>
      <c r="K27" s="55" t="s">
        <v>64</v>
      </c>
      <c r="L27" s="54" t="s">
        <v>84</v>
      </c>
      <c r="M27" s="3"/>
      <c r="N27" s="4">
        <f t="shared" si="4"/>
        <v>39.950000000000003</v>
      </c>
      <c r="O27" s="4">
        <f t="shared" si="5"/>
        <v>69.010000000000005</v>
      </c>
      <c r="P27" s="4" t="str">
        <f t="shared" si="6"/>
        <v>V</v>
      </c>
      <c r="Q27" s="4">
        <f t="shared" si="7"/>
        <v>29.060000000000002</v>
      </c>
      <c r="X27" s="46"/>
    </row>
    <row r="28" spans="1:33" ht="17.25" customHeight="1" x14ac:dyDescent="0.25">
      <c r="A28" s="4">
        <f t="shared" si="0"/>
        <v>7.0499999999999972</v>
      </c>
      <c r="B28" s="4" t="str">
        <f t="shared" si="8"/>
        <v>V</v>
      </c>
      <c r="C28" s="4">
        <f t="shared" si="2"/>
        <v>79.959999999999994</v>
      </c>
      <c r="D28" s="4">
        <f t="shared" si="3"/>
        <v>72.91</v>
      </c>
      <c r="E28" s="3"/>
      <c r="F28" s="54" t="s">
        <v>95</v>
      </c>
      <c r="G28" s="55" t="s">
        <v>94</v>
      </c>
      <c r="H28" s="68">
        <v>79.959999999999994</v>
      </c>
      <c r="I28" s="1" t="s">
        <v>52</v>
      </c>
      <c r="J28" s="61">
        <v>72.91</v>
      </c>
      <c r="K28" s="55" t="s">
        <v>92</v>
      </c>
      <c r="L28" s="54" t="s">
        <v>93</v>
      </c>
      <c r="M28" s="3"/>
      <c r="N28" s="4">
        <f t="shared" si="4"/>
        <v>79.959999999999994</v>
      </c>
      <c r="O28" s="4">
        <f t="shared" si="5"/>
        <v>72.91</v>
      </c>
      <c r="P28" s="4" t="str">
        <f t="shared" si="6"/>
        <v>D</v>
      </c>
      <c r="Q28" s="4">
        <f t="shared" si="7"/>
        <v>-7.0499999999999972</v>
      </c>
      <c r="X28" s="46"/>
    </row>
    <row r="29" spans="1:33" ht="17.25" customHeight="1" x14ac:dyDescent="0.25">
      <c r="A29" s="4">
        <f t="shared" si="0"/>
        <v>-4.2900000000000063</v>
      </c>
      <c r="B29" s="4" t="str">
        <f t="shared" si="8"/>
        <v>E</v>
      </c>
      <c r="C29" s="4">
        <f t="shared" si="2"/>
        <v>66.61</v>
      </c>
      <c r="D29" s="4">
        <f t="shared" si="3"/>
        <v>70.900000000000006</v>
      </c>
      <c r="E29" s="3"/>
      <c r="F29" s="54" t="s">
        <v>72</v>
      </c>
      <c r="G29" s="55" t="s">
        <v>73</v>
      </c>
      <c r="H29" s="69">
        <v>66.61</v>
      </c>
      <c r="I29" s="1" t="s">
        <v>52</v>
      </c>
      <c r="J29" s="69">
        <v>70.900000000000006</v>
      </c>
      <c r="K29" s="55" t="s">
        <v>83</v>
      </c>
      <c r="L29" s="54" t="s">
        <v>61</v>
      </c>
      <c r="M29" s="3"/>
      <c r="N29" s="4">
        <f t="shared" si="4"/>
        <v>66.61</v>
      </c>
      <c r="O29" s="4">
        <f t="shared" si="5"/>
        <v>70.900000000000006</v>
      </c>
      <c r="P29" s="4" t="str">
        <f t="shared" si="6"/>
        <v>E</v>
      </c>
      <c r="Q29" s="4">
        <f t="shared" si="7"/>
        <v>4.2900000000000063</v>
      </c>
      <c r="X29" s="46"/>
    </row>
    <row r="30" spans="1:33" ht="17.25" customHeight="1" x14ac:dyDescent="0.25">
      <c r="A30" s="4">
        <f t="shared" si="0"/>
        <v>-14</v>
      </c>
      <c r="B30" s="4" t="str">
        <f t="shared" si="8"/>
        <v>D</v>
      </c>
      <c r="C30" s="4">
        <f t="shared" si="2"/>
        <v>65.81</v>
      </c>
      <c r="D30" s="4">
        <f t="shared" si="3"/>
        <v>79.81</v>
      </c>
      <c r="E30" s="3"/>
      <c r="F30" s="54" t="s">
        <v>98</v>
      </c>
      <c r="G30" s="55" t="s">
        <v>99</v>
      </c>
      <c r="H30" s="61">
        <v>65.81</v>
      </c>
      <c r="I30" s="1" t="s">
        <v>52</v>
      </c>
      <c r="J30" s="54">
        <v>79.81</v>
      </c>
      <c r="K30" s="55" t="s">
        <v>87</v>
      </c>
      <c r="L30" s="54" t="s">
        <v>63</v>
      </c>
      <c r="M30" s="3"/>
      <c r="N30" s="4">
        <f t="shared" si="4"/>
        <v>65.81</v>
      </c>
      <c r="O30" s="4">
        <f t="shared" si="5"/>
        <v>79.81</v>
      </c>
      <c r="P30" s="4" t="str">
        <f t="shared" si="6"/>
        <v>V</v>
      </c>
      <c r="Q30" s="4">
        <f t="shared" si="7"/>
        <v>14</v>
      </c>
      <c r="X30" s="46"/>
    </row>
    <row r="31" spans="1:33" ht="17.25" customHeight="1" x14ac:dyDescent="0.25">
      <c r="A31" s="4">
        <f t="shared" si="0"/>
        <v>4.6499999999999915</v>
      </c>
      <c r="B31" s="4" t="str">
        <f t="shared" si="8"/>
        <v>E</v>
      </c>
      <c r="C31" s="4">
        <f t="shared" si="2"/>
        <v>82.16</v>
      </c>
      <c r="D31" s="4">
        <f t="shared" si="3"/>
        <v>77.510000000000005</v>
      </c>
      <c r="E31" s="3"/>
      <c r="F31" s="54" t="s">
        <v>82</v>
      </c>
      <c r="G31" s="55" t="s">
        <v>81</v>
      </c>
      <c r="H31" s="69">
        <v>82.16</v>
      </c>
      <c r="I31" s="1" t="s">
        <v>52</v>
      </c>
      <c r="J31" s="69">
        <v>77.510000000000005</v>
      </c>
      <c r="K31" s="55" t="s">
        <v>67</v>
      </c>
      <c r="L31" s="54" t="s">
        <v>66</v>
      </c>
      <c r="M31" s="3"/>
      <c r="N31" s="4">
        <f t="shared" si="4"/>
        <v>82.16</v>
      </c>
      <c r="O31" s="4">
        <f t="shared" si="5"/>
        <v>77.510000000000005</v>
      </c>
      <c r="P31" s="4" t="str">
        <f t="shared" si="6"/>
        <v>E</v>
      </c>
      <c r="Q31" s="4">
        <f t="shared" si="7"/>
        <v>-4.6499999999999915</v>
      </c>
      <c r="X31" s="46"/>
    </row>
    <row r="32" spans="1:33" ht="17.25" customHeight="1" x14ac:dyDescent="0.25">
      <c r="A32" s="4">
        <f t="shared" si="0"/>
        <v>8</v>
      </c>
      <c r="B32" s="4" t="str">
        <f t="shared" si="8"/>
        <v>V</v>
      </c>
      <c r="C32" s="4">
        <f t="shared" si="2"/>
        <v>61.6</v>
      </c>
      <c r="D32" s="4">
        <f t="shared" si="3"/>
        <v>53.6</v>
      </c>
      <c r="E32" s="3"/>
      <c r="F32" s="54" t="s">
        <v>60</v>
      </c>
      <c r="G32" s="55" t="s">
        <v>100</v>
      </c>
      <c r="H32" s="68">
        <v>61.6</v>
      </c>
      <c r="I32" s="1" t="s">
        <v>52</v>
      </c>
      <c r="J32" s="61">
        <v>53.6</v>
      </c>
      <c r="K32" s="55" t="s">
        <v>75</v>
      </c>
      <c r="L32" s="54" t="s">
        <v>76</v>
      </c>
      <c r="M32" s="3"/>
      <c r="N32" s="4">
        <f t="shared" si="4"/>
        <v>61.6</v>
      </c>
      <c r="O32" s="4">
        <f t="shared" si="5"/>
        <v>53.6</v>
      </c>
      <c r="P32" s="4" t="str">
        <f t="shared" si="6"/>
        <v>D</v>
      </c>
      <c r="Q32" s="4">
        <f t="shared" si="7"/>
        <v>-8</v>
      </c>
      <c r="X32" s="46"/>
    </row>
    <row r="33" spans="1:24" ht="17.25" customHeight="1" x14ac:dyDescent="0.25">
      <c r="A33" s="4">
        <f t="shared" si="0"/>
        <v>-11.450000000000003</v>
      </c>
      <c r="B33" s="4" t="str">
        <f t="shared" si="8"/>
        <v>D</v>
      </c>
      <c r="C33" s="4">
        <f t="shared" si="2"/>
        <v>66.81</v>
      </c>
      <c r="D33" s="4">
        <f t="shared" si="3"/>
        <v>78.260000000000005</v>
      </c>
      <c r="E33" s="3"/>
      <c r="F33" s="54" t="s">
        <v>70</v>
      </c>
      <c r="G33" s="55" t="s">
        <v>69</v>
      </c>
      <c r="H33" s="61">
        <v>66.81</v>
      </c>
      <c r="I33" s="1" t="s">
        <v>52</v>
      </c>
      <c r="J33" s="54">
        <v>78.260000000000005</v>
      </c>
      <c r="K33" s="55" t="s">
        <v>74</v>
      </c>
      <c r="L33" s="54" t="s">
        <v>65</v>
      </c>
      <c r="M33" s="3"/>
      <c r="N33" s="4">
        <f t="shared" si="4"/>
        <v>66.81</v>
      </c>
      <c r="O33" s="4">
        <f t="shared" si="5"/>
        <v>78.260000000000005</v>
      </c>
      <c r="P33" s="4" t="str">
        <f t="shared" si="6"/>
        <v>V</v>
      </c>
      <c r="Q33" s="4">
        <f t="shared" si="7"/>
        <v>11.450000000000003</v>
      </c>
      <c r="X33" s="46"/>
    </row>
    <row r="34" spans="1:24" ht="17.25" customHeight="1" x14ac:dyDescent="0.25">
      <c r="A34" s="4">
        <f t="shared" si="0"/>
        <v>14.649999999999991</v>
      </c>
      <c r="B34" s="4" t="str">
        <f t="shared" si="8"/>
        <v>V</v>
      </c>
      <c r="C34" s="4">
        <f t="shared" si="2"/>
        <v>86.96</v>
      </c>
      <c r="D34" s="4">
        <f t="shared" si="3"/>
        <v>72.31</v>
      </c>
      <c r="E34" s="3"/>
      <c r="F34" s="54" t="s">
        <v>62</v>
      </c>
      <c r="G34" s="55" t="s">
        <v>85</v>
      </c>
      <c r="H34" s="68">
        <v>86.96</v>
      </c>
      <c r="I34" s="1" t="s">
        <v>52</v>
      </c>
      <c r="J34" s="61">
        <v>72.31</v>
      </c>
      <c r="K34" s="55" t="s">
        <v>79</v>
      </c>
      <c r="L34" s="54" t="s">
        <v>80</v>
      </c>
      <c r="M34" s="3"/>
      <c r="N34" s="4">
        <f t="shared" si="4"/>
        <v>86.96</v>
      </c>
      <c r="O34" s="4">
        <f t="shared" si="5"/>
        <v>72.31</v>
      </c>
      <c r="P34" s="4" t="str">
        <f t="shared" si="6"/>
        <v>D</v>
      </c>
      <c r="Q34" s="4">
        <f t="shared" si="7"/>
        <v>-14.649999999999991</v>
      </c>
      <c r="X34" s="46"/>
    </row>
    <row r="35" spans="1:24" ht="17.25" customHeight="1" x14ac:dyDescent="0.25">
      <c r="A35" s="4">
        <f t="shared" si="0"/>
        <v>-7.3499999999999943</v>
      </c>
      <c r="B35" s="4" t="str">
        <f t="shared" si="8"/>
        <v>D</v>
      </c>
      <c r="C35" s="4">
        <f t="shared" si="2"/>
        <v>71.81</v>
      </c>
      <c r="D35" s="4">
        <f t="shared" si="3"/>
        <v>79.16</v>
      </c>
      <c r="E35" s="3"/>
      <c r="F35" s="54" t="s">
        <v>97</v>
      </c>
      <c r="G35" s="55" t="s">
        <v>96</v>
      </c>
      <c r="H35" s="61">
        <v>71.81</v>
      </c>
      <c r="I35" s="1" t="s">
        <v>52</v>
      </c>
      <c r="J35" s="68">
        <v>79.16</v>
      </c>
      <c r="K35" s="55" t="s">
        <v>77</v>
      </c>
      <c r="L35" s="54" t="s">
        <v>78</v>
      </c>
      <c r="M35" s="3"/>
      <c r="N35" s="4">
        <f t="shared" si="4"/>
        <v>71.81</v>
      </c>
      <c r="O35" s="4">
        <f t="shared" si="5"/>
        <v>79.16</v>
      </c>
      <c r="P35" s="4" t="str">
        <f t="shared" si="6"/>
        <v>V</v>
      </c>
      <c r="Q35" s="4">
        <f t="shared" si="7"/>
        <v>7.3499999999999943</v>
      </c>
      <c r="X35" s="46"/>
    </row>
    <row r="36" spans="1:24" ht="17.25" customHeight="1" x14ac:dyDescent="0.25">
      <c r="A36" s="4">
        <f t="shared" si="0"/>
        <v>-15.050000000000011</v>
      </c>
      <c r="B36" s="4" t="str">
        <f t="shared" si="8"/>
        <v>D</v>
      </c>
      <c r="C36" s="4">
        <f t="shared" si="2"/>
        <v>80.209999999999994</v>
      </c>
      <c r="D36" s="4">
        <f t="shared" si="3"/>
        <v>95.26</v>
      </c>
      <c r="E36" s="3"/>
      <c r="F36" s="54" t="s">
        <v>89</v>
      </c>
      <c r="G36" s="55" t="s">
        <v>88</v>
      </c>
      <c r="H36" s="61">
        <v>80.209999999999994</v>
      </c>
      <c r="I36" s="1" t="s">
        <v>52</v>
      </c>
      <c r="J36" s="68">
        <v>95.26</v>
      </c>
      <c r="K36" s="55" t="s">
        <v>71</v>
      </c>
      <c r="L36" s="54" t="s">
        <v>68</v>
      </c>
      <c r="M36" s="3"/>
      <c r="N36" s="4">
        <f t="shared" si="4"/>
        <v>80.209999999999994</v>
      </c>
      <c r="O36" s="4">
        <f t="shared" si="5"/>
        <v>95.26</v>
      </c>
      <c r="P36" s="4" t="str">
        <f t="shared" si="6"/>
        <v>V</v>
      </c>
      <c r="Q36" s="4">
        <f t="shared" si="7"/>
        <v>15.050000000000011</v>
      </c>
      <c r="X36" s="46"/>
    </row>
    <row r="37" spans="1:24" ht="17.25" customHeight="1" x14ac:dyDescent="0.25">
      <c r="E37" s="3"/>
      <c r="F37" s="54" t="s">
        <v>5</v>
      </c>
      <c r="G37" s="12"/>
      <c r="H37" s="12"/>
      <c r="I37" s="12"/>
      <c r="J37" s="12"/>
      <c r="K37" s="12"/>
      <c r="L37" s="12"/>
      <c r="M37" s="3"/>
      <c r="X37" s="46"/>
    </row>
    <row r="38" spans="1:24" ht="17.25" customHeight="1" x14ac:dyDescent="0.25">
      <c r="E38" s="3"/>
      <c r="F38" s="1" t="s">
        <v>1</v>
      </c>
      <c r="G38" s="54" t="s">
        <v>2</v>
      </c>
      <c r="H38" s="1"/>
      <c r="I38" s="1"/>
      <c r="J38" s="1"/>
      <c r="K38" s="54" t="s">
        <v>2</v>
      </c>
      <c r="L38" s="1" t="s">
        <v>1</v>
      </c>
      <c r="M38" s="3"/>
      <c r="X38" s="46"/>
    </row>
    <row r="39" spans="1:24" ht="17.25" customHeight="1" x14ac:dyDescent="0.25">
      <c r="A39" s="4">
        <f t="shared" si="0"/>
        <v>-3.2000000000000028</v>
      </c>
      <c r="B39" s="4" t="str">
        <f t="shared" si="8"/>
        <v>E</v>
      </c>
      <c r="C39" s="4">
        <f t="shared" si="2"/>
        <v>56.37</v>
      </c>
      <c r="D39" s="4">
        <f t="shared" si="3"/>
        <v>59.57</v>
      </c>
      <c r="E39" s="3"/>
      <c r="F39" s="54" t="s">
        <v>80</v>
      </c>
      <c r="G39" s="55" t="s">
        <v>79</v>
      </c>
      <c r="H39" s="69">
        <v>56.37</v>
      </c>
      <c r="I39" s="1" t="s">
        <v>52</v>
      </c>
      <c r="J39" s="69">
        <v>59.57</v>
      </c>
      <c r="K39" s="55" t="s">
        <v>100</v>
      </c>
      <c r="L39" s="54" t="s">
        <v>60</v>
      </c>
      <c r="M39" s="3"/>
      <c r="N39" s="4">
        <f t="shared" si="4"/>
        <v>56.37</v>
      </c>
      <c r="O39" s="4">
        <f t="shared" si="5"/>
        <v>59.57</v>
      </c>
      <c r="P39" s="4" t="str">
        <f t="shared" si="6"/>
        <v>E</v>
      </c>
      <c r="Q39" s="4">
        <f t="shared" si="7"/>
        <v>3.2000000000000028</v>
      </c>
      <c r="X39" s="46"/>
    </row>
    <row r="40" spans="1:24" ht="17.25" customHeight="1" x14ac:dyDescent="0.25">
      <c r="A40" s="4">
        <f t="shared" si="0"/>
        <v>2.0200000000000031</v>
      </c>
      <c r="B40" s="4" t="str">
        <f t="shared" si="8"/>
        <v>E</v>
      </c>
      <c r="C40" s="4">
        <f t="shared" si="2"/>
        <v>51.35</v>
      </c>
      <c r="D40" s="4">
        <f t="shared" si="3"/>
        <v>49.33</v>
      </c>
      <c r="E40" s="3"/>
      <c r="F40" s="54" t="s">
        <v>78</v>
      </c>
      <c r="G40" s="55" t="s">
        <v>77</v>
      </c>
      <c r="H40" s="69">
        <v>51.35</v>
      </c>
      <c r="I40" s="1" t="s">
        <v>52</v>
      </c>
      <c r="J40" s="69">
        <v>49.33</v>
      </c>
      <c r="K40" s="55" t="s">
        <v>81</v>
      </c>
      <c r="L40" s="54" t="s">
        <v>82</v>
      </c>
      <c r="M40" s="3"/>
      <c r="N40" s="4">
        <f t="shared" si="4"/>
        <v>51.35</v>
      </c>
      <c r="O40" s="4">
        <f t="shared" si="5"/>
        <v>49.33</v>
      </c>
      <c r="P40" s="4" t="str">
        <f t="shared" si="6"/>
        <v>E</v>
      </c>
      <c r="Q40" s="4">
        <f t="shared" si="7"/>
        <v>-2.0200000000000031</v>
      </c>
      <c r="X40" s="46"/>
    </row>
    <row r="41" spans="1:24" ht="17.25" customHeight="1" x14ac:dyDescent="0.25">
      <c r="A41" s="4">
        <f t="shared" si="0"/>
        <v>31.14</v>
      </c>
      <c r="B41" s="4" t="str">
        <f t="shared" si="8"/>
        <v>V</v>
      </c>
      <c r="C41" s="4">
        <f t="shared" si="2"/>
        <v>76.11</v>
      </c>
      <c r="D41" s="4">
        <f t="shared" si="3"/>
        <v>44.97</v>
      </c>
      <c r="E41" s="3"/>
      <c r="F41" s="54" t="s">
        <v>93</v>
      </c>
      <c r="G41" s="55" t="s">
        <v>92</v>
      </c>
      <c r="H41" s="68">
        <v>76.11</v>
      </c>
      <c r="I41" s="1" t="s">
        <v>52</v>
      </c>
      <c r="J41" s="61">
        <v>44.97</v>
      </c>
      <c r="K41" s="55" t="s">
        <v>69</v>
      </c>
      <c r="L41" s="54" t="s">
        <v>70</v>
      </c>
      <c r="M41" s="3"/>
      <c r="N41" s="4">
        <f t="shared" si="4"/>
        <v>76.11</v>
      </c>
      <c r="O41" s="4">
        <f t="shared" si="5"/>
        <v>44.97</v>
      </c>
      <c r="P41" s="4" t="str">
        <f t="shared" si="6"/>
        <v>D</v>
      </c>
      <c r="Q41" s="4">
        <f t="shared" si="7"/>
        <v>-31.14</v>
      </c>
      <c r="X41" s="46"/>
    </row>
    <row r="42" spans="1:24" ht="17.25" customHeight="1" x14ac:dyDescent="0.25">
      <c r="A42" s="4">
        <f t="shared" si="0"/>
        <v>15.680000000000007</v>
      </c>
      <c r="B42" s="4" t="str">
        <f t="shared" si="8"/>
        <v>V</v>
      </c>
      <c r="C42" s="4">
        <f t="shared" si="2"/>
        <v>86.9</v>
      </c>
      <c r="D42" s="4">
        <f t="shared" si="3"/>
        <v>71.22</v>
      </c>
      <c r="E42" s="3"/>
      <c r="F42" s="54" t="s">
        <v>65</v>
      </c>
      <c r="G42" s="55" t="s">
        <v>74</v>
      </c>
      <c r="H42" s="54">
        <v>86.9</v>
      </c>
      <c r="I42" s="1" t="s">
        <v>52</v>
      </c>
      <c r="J42" s="61">
        <v>71.22</v>
      </c>
      <c r="K42" s="55" t="s">
        <v>90</v>
      </c>
      <c r="L42" s="54" t="s">
        <v>91</v>
      </c>
      <c r="M42" s="3"/>
      <c r="N42" s="4">
        <f t="shared" si="4"/>
        <v>86.9</v>
      </c>
      <c r="O42" s="4">
        <f t="shared" si="5"/>
        <v>71.22</v>
      </c>
      <c r="P42" s="4" t="str">
        <f t="shared" si="6"/>
        <v>D</v>
      </c>
      <c r="Q42" s="4">
        <f t="shared" si="7"/>
        <v>-15.680000000000007</v>
      </c>
      <c r="X42" s="46"/>
    </row>
    <row r="43" spans="1:24" ht="17.25" customHeight="1" x14ac:dyDescent="0.25">
      <c r="A43" s="4">
        <f t="shared" si="0"/>
        <v>-13.519999999999996</v>
      </c>
      <c r="B43" s="4" t="str">
        <f t="shared" si="8"/>
        <v>D</v>
      </c>
      <c r="C43" s="4">
        <f t="shared" si="2"/>
        <v>61.75</v>
      </c>
      <c r="D43" s="4">
        <f t="shared" si="3"/>
        <v>75.27</v>
      </c>
      <c r="E43" s="3"/>
      <c r="F43" s="54" t="s">
        <v>76</v>
      </c>
      <c r="G43" s="55" t="s">
        <v>75</v>
      </c>
      <c r="H43" s="61">
        <v>61.75</v>
      </c>
      <c r="I43" s="1" t="s">
        <v>52</v>
      </c>
      <c r="J43" s="68">
        <v>75.27</v>
      </c>
      <c r="K43" s="55" t="s">
        <v>85</v>
      </c>
      <c r="L43" s="54" t="s">
        <v>62</v>
      </c>
      <c r="M43" s="3"/>
      <c r="N43" s="4">
        <f t="shared" si="4"/>
        <v>61.75</v>
      </c>
      <c r="O43" s="4">
        <f t="shared" si="5"/>
        <v>75.27</v>
      </c>
      <c r="P43" s="4" t="str">
        <f t="shared" si="6"/>
        <v>V</v>
      </c>
      <c r="Q43" s="4">
        <f t="shared" si="7"/>
        <v>13.519999999999996</v>
      </c>
      <c r="X43" s="47"/>
    </row>
    <row r="44" spans="1:24" ht="17.25" customHeight="1" x14ac:dyDescent="0.25">
      <c r="A44" s="4">
        <f t="shared" si="0"/>
        <v>-16</v>
      </c>
      <c r="B44" s="4" t="str">
        <f t="shared" si="8"/>
        <v>D</v>
      </c>
      <c r="C44" s="4">
        <f t="shared" si="2"/>
        <v>62.45</v>
      </c>
      <c r="D44" s="4">
        <f t="shared" si="3"/>
        <v>78.45</v>
      </c>
      <c r="E44" s="3"/>
      <c r="F44" s="54" t="s">
        <v>84</v>
      </c>
      <c r="G44" s="55" t="s">
        <v>64</v>
      </c>
      <c r="H44" s="61">
        <v>62.45</v>
      </c>
      <c r="I44" s="1" t="s">
        <v>52</v>
      </c>
      <c r="J44" s="68">
        <v>78.45</v>
      </c>
      <c r="K44" s="55" t="s">
        <v>88</v>
      </c>
      <c r="L44" s="54" t="s">
        <v>89</v>
      </c>
      <c r="M44" s="3"/>
      <c r="N44" s="4">
        <f t="shared" si="4"/>
        <v>62.45</v>
      </c>
      <c r="O44" s="4">
        <f t="shared" si="5"/>
        <v>78.45</v>
      </c>
      <c r="P44" s="4" t="str">
        <f t="shared" si="6"/>
        <v>V</v>
      </c>
      <c r="Q44" s="4">
        <f t="shared" si="7"/>
        <v>16</v>
      </c>
      <c r="X44" s="46"/>
    </row>
    <row r="45" spans="1:24" ht="17.25" customHeight="1" x14ac:dyDescent="0.25">
      <c r="A45" s="4">
        <f t="shared" si="0"/>
        <v>-3.2199999999999918</v>
      </c>
      <c r="B45" s="4" t="str">
        <f t="shared" si="8"/>
        <v>E</v>
      </c>
      <c r="C45" s="4">
        <f t="shared" si="2"/>
        <v>61.85</v>
      </c>
      <c r="D45" s="4">
        <f t="shared" si="3"/>
        <v>65.069999999999993</v>
      </c>
      <c r="E45" s="3"/>
      <c r="F45" s="54" t="s">
        <v>68</v>
      </c>
      <c r="G45" s="55" t="s">
        <v>71</v>
      </c>
      <c r="H45" s="69">
        <v>61.85</v>
      </c>
      <c r="I45" s="1" t="s">
        <v>52</v>
      </c>
      <c r="J45" s="69">
        <v>65.069999999999993</v>
      </c>
      <c r="K45" s="55" t="s">
        <v>99</v>
      </c>
      <c r="L45" s="54" t="s">
        <v>98</v>
      </c>
      <c r="M45" s="3"/>
      <c r="N45" s="4">
        <f t="shared" si="4"/>
        <v>61.85</v>
      </c>
      <c r="O45" s="4">
        <f t="shared" si="5"/>
        <v>65.069999999999993</v>
      </c>
      <c r="P45" s="4" t="str">
        <f t="shared" si="6"/>
        <v>E</v>
      </c>
      <c r="Q45" s="4">
        <f t="shared" si="7"/>
        <v>3.2199999999999918</v>
      </c>
      <c r="X45" s="46"/>
    </row>
    <row r="46" spans="1:24" ht="17.25" customHeight="1" x14ac:dyDescent="0.25">
      <c r="A46" s="4">
        <f t="shared" si="0"/>
        <v>18.380000000000003</v>
      </c>
      <c r="B46" s="4" t="str">
        <f t="shared" si="8"/>
        <v>V</v>
      </c>
      <c r="C46" s="4">
        <f t="shared" si="2"/>
        <v>76.150000000000006</v>
      </c>
      <c r="D46" s="4">
        <f t="shared" si="3"/>
        <v>57.77</v>
      </c>
      <c r="E46" s="3"/>
      <c r="F46" s="54" t="s">
        <v>63</v>
      </c>
      <c r="G46" s="55" t="s">
        <v>87</v>
      </c>
      <c r="H46" s="54">
        <v>76.150000000000006</v>
      </c>
      <c r="I46" s="1" t="s">
        <v>52</v>
      </c>
      <c r="J46" s="61">
        <v>57.77</v>
      </c>
      <c r="K46" s="55" t="s">
        <v>73</v>
      </c>
      <c r="L46" s="54" t="s">
        <v>72</v>
      </c>
      <c r="M46" s="3"/>
      <c r="N46" s="4">
        <f t="shared" si="4"/>
        <v>76.150000000000006</v>
      </c>
      <c r="O46" s="4">
        <f t="shared" si="5"/>
        <v>57.77</v>
      </c>
      <c r="P46" s="4" t="str">
        <f t="shared" si="6"/>
        <v>D</v>
      </c>
      <c r="Q46" s="4">
        <f t="shared" si="7"/>
        <v>-18.380000000000003</v>
      </c>
      <c r="X46" s="46"/>
    </row>
    <row r="47" spans="1:24" ht="17.25" customHeight="1" x14ac:dyDescent="0.25">
      <c r="A47" s="4">
        <f t="shared" si="0"/>
        <v>8.8199999999999932</v>
      </c>
      <c r="B47" s="4" t="str">
        <f t="shared" si="8"/>
        <v>V</v>
      </c>
      <c r="C47" s="4">
        <f t="shared" si="2"/>
        <v>65.27</v>
      </c>
      <c r="D47" s="4">
        <f t="shared" si="3"/>
        <v>56.45</v>
      </c>
      <c r="E47" s="3"/>
      <c r="F47" s="54" t="s">
        <v>66</v>
      </c>
      <c r="G47" s="55" t="s">
        <v>67</v>
      </c>
      <c r="H47" s="68">
        <v>65.27</v>
      </c>
      <c r="I47" s="1" t="s">
        <v>52</v>
      </c>
      <c r="J47" s="61">
        <v>56.45</v>
      </c>
      <c r="K47" s="55" t="s">
        <v>94</v>
      </c>
      <c r="L47" s="54" t="s">
        <v>95</v>
      </c>
      <c r="M47" s="3"/>
      <c r="N47" s="4">
        <f t="shared" si="4"/>
        <v>65.27</v>
      </c>
      <c r="O47" s="4">
        <f t="shared" si="5"/>
        <v>56.45</v>
      </c>
      <c r="P47" s="4" t="str">
        <f t="shared" si="6"/>
        <v>D</v>
      </c>
      <c r="Q47" s="4">
        <f t="shared" si="7"/>
        <v>-8.8199999999999932</v>
      </c>
      <c r="X47" s="46"/>
    </row>
    <row r="48" spans="1:24" ht="17.25" customHeight="1" x14ac:dyDescent="0.25">
      <c r="A48" s="4">
        <f t="shared" si="0"/>
        <v>-11.350000000000009</v>
      </c>
      <c r="B48" s="4" t="str">
        <f t="shared" si="8"/>
        <v>D</v>
      </c>
      <c r="C48" s="4">
        <f t="shared" si="2"/>
        <v>66.05</v>
      </c>
      <c r="D48" s="4">
        <f t="shared" si="3"/>
        <v>77.400000000000006</v>
      </c>
      <c r="E48" s="3"/>
      <c r="F48" s="54" t="s">
        <v>61</v>
      </c>
      <c r="G48" s="55" t="s">
        <v>83</v>
      </c>
      <c r="H48" s="61">
        <v>66.05</v>
      </c>
      <c r="I48" s="1" t="s">
        <v>52</v>
      </c>
      <c r="J48" s="68">
        <v>77.400000000000006</v>
      </c>
      <c r="K48" s="55" t="s">
        <v>96</v>
      </c>
      <c r="L48" s="54" t="s">
        <v>97</v>
      </c>
      <c r="M48" s="3"/>
      <c r="N48" s="4">
        <f t="shared" si="4"/>
        <v>66.05</v>
      </c>
      <c r="O48" s="4">
        <f t="shared" si="5"/>
        <v>77.400000000000006</v>
      </c>
      <c r="P48" s="4" t="str">
        <f t="shared" si="6"/>
        <v>V</v>
      </c>
      <c r="Q48" s="4">
        <f t="shared" si="7"/>
        <v>11.350000000000009</v>
      </c>
    </row>
    <row r="49" spans="1:24" ht="17.25" customHeight="1" x14ac:dyDescent="0.25">
      <c r="E49" s="3"/>
      <c r="F49" s="54" t="s">
        <v>6</v>
      </c>
      <c r="G49" s="12"/>
      <c r="H49" s="12"/>
      <c r="I49" s="12"/>
      <c r="J49" s="12"/>
      <c r="K49" s="12"/>
      <c r="L49" s="12"/>
      <c r="M49" s="3"/>
    </row>
    <row r="50" spans="1:24" ht="17.25" customHeight="1" x14ac:dyDescent="0.25">
      <c r="E50" s="3"/>
      <c r="F50" s="1" t="s">
        <v>1</v>
      </c>
      <c r="G50" s="54" t="s">
        <v>2</v>
      </c>
      <c r="H50" s="1"/>
      <c r="I50" s="1"/>
      <c r="J50" s="1"/>
      <c r="K50" s="54" t="s">
        <v>2</v>
      </c>
      <c r="L50" s="1" t="s">
        <v>1</v>
      </c>
      <c r="M50" s="3"/>
    </row>
    <row r="51" spans="1:24" ht="17.25" customHeight="1" x14ac:dyDescent="0.25">
      <c r="A51" s="4">
        <f t="shared" si="0"/>
        <v>1.3799999999999955</v>
      </c>
      <c r="B51" s="4" t="str">
        <f t="shared" si="8"/>
        <v>E</v>
      </c>
      <c r="C51" s="4">
        <f t="shared" si="2"/>
        <v>119</v>
      </c>
      <c r="D51" s="4">
        <f t="shared" si="3"/>
        <v>117.62</v>
      </c>
      <c r="E51" s="3"/>
      <c r="F51" s="54" t="s">
        <v>80</v>
      </c>
      <c r="G51" s="55" t="s">
        <v>79</v>
      </c>
      <c r="H51" s="72">
        <v>119</v>
      </c>
      <c r="I51" s="1" t="s">
        <v>52</v>
      </c>
      <c r="J51" s="72">
        <v>117.62</v>
      </c>
      <c r="K51" s="55" t="s">
        <v>77</v>
      </c>
      <c r="L51" s="54" t="s">
        <v>78</v>
      </c>
      <c r="M51" s="3"/>
      <c r="N51" s="4">
        <f t="shared" si="4"/>
        <v>119</v>
      </c>
      <c r="O51" s="4">
        <f t="shared" si="5"/>
        <v>117.62</v>
      </c>
      <c r="P51" s="4" t="str">
        <f t="shared" si="6"/>
        <v>E</v>
      </c>
      <c r="Q51" s="4">
        <f t="shared" si="7"/>
        <v>-1.3799999999999955</v>
      </c>
      <c r="X51" s="34"/>
    </row>
    <row r="52" spans="1:24" ht="17.25" customHeight="1" x14ac:dyDescent="0.25">
      <c r="A52" s="4">
        <f t="shared" si="0"/>
        <v>11.25</v>
      </c>
      <c r="B52" s="4" t="str">
        <f t="shared" si="8"/>
        <v>V</v>
      </c>
      <c r="C52" s="4">
        <f t="shared" si="2"/>
        <v>123.47</v>
      </c>
      <c r="D52" s="4">
        <f t="shared" si="3"/>
        <v>112.22</v>
      </c>
      <c r="E52" s="3"/>
      <c r="F52" s="54" t="s">
        <v>95</v>
      </c>
      <c r="G52" s="55" t="s">
        <v>94</v>
      </c>
      <c r="H52" s="54">
        <v>123.47</v>
      </c>
      <c r="I52" s="1" t="s">
        <v>52</v>
      </c>
      <c r="J52" s="54">
        <v>112.22</v>
      </c>
      <c r="K52" s="55" t="s">
        <v>100</v>
      </c>
      <c r="L52" s="54" t="s">
        <v>60</v>
      </c>
      <c r="M52" s="3"/>
      <c r="N52" s="4">
        <f t="shared" si="4"/>
        <v>123.47</v>
      </c>
      <c r="O52" s="4">
        <f t="shared" si="5"/>
        <v>112.22</v>
      </c>
      <c r="P52" s="4" t="str">
        <f t="shared" si="6"/>
        <v>D</v>
      </c>
      <c r="Q52" s="4">
        <f t="shared" si="7"/>
        <v>-11.25</v>
      </c>
      <c r="X52" s="34"/>
    </row>
    <row r="53" spans="1:24" ht="17.25" customHeight="1" x14ac:dyDescent="0.25">
      <c r="A53" s="4">
        <f t="shared" si="0"/>
        <v>9.9200000000000017</v>
      </c>
      <c r="B53" s="4" t="str">
        <f t="shared" si="8"/>
        <v>V</v>
      </c>
      <c r="C53" s="4">
        <f t="shared" si="2"/>
        <v>124.84</v>
      </c>
      <c r="D53" s="4">
        <f t="shared" si="3"/>
        <v>114.92</v>
      </c>
      <c r="E53" s="3"/>
      <c r="F53" s="54" t="s">
        <v>72</v>
      </c>
      <c r="G53" s="55" t="s">
        <v>73</v>
      </c>
      <c r="H53" s="54">
        <v>124.84</v>
      </c>
      <c r="I53" s="1" t="s">
        <v>52</v>
      </c>
      <c r="J53" s="54">
        <v>114.92</v>
      </c>
      <c r="K53" s="55" t="s">
        <v>99</v>
      </c>
      <c r="L53" s="54" t="s">
        <v>98</v>
      </c>
      <c r="M53" s="3"/>
      <c r="N53" s="4">
        <f t="shared" si="4"/>
        <v>124.84</v>
      </c>
      <c r="O53" s="4">
        <f t="shared" si="5"/>
        <v>114.92</v>
      </c>
      <c r="P53" s="4" t="str">
        <f t="shared" si="6"/>
        <v>D</v>
      </c>
      <c r="Q53" s="4">
        <f t="shared" si="7"/>
        <v>-9.9200000000000017</v>
      </c>
      <c r="X53" s="35"/>
    </row>
    <row r="54" spans="1:24" ht="17.25" customHeight="1" x14ac:dyDescent="0.25">
      <c r="A54" s="4">
        <f t="shared" si="0"/>
        <v>18.170000000000002</v>
      </c>
      <c r="B54" s="4" t="str">
        <f t="shared" si="8"/>
        <v>V</v>
      </c>
      <c r="C54" s="4">
        <f t="shared" si="2"/>
        <v>127.97</v>
      </c>
      <c r="D54" s="4">
        <f t="shared" si="3"/>
        <v>109.8</v>
      </c>
      <c r="E54" s="3"/>
      <c r="F54" s="54" t="s">
        <v>65</v>
      </c>
      <c r="G54" s="55" t="s">
        <v>74</v>
      </c>
      <c r="H54" s="54">
        <v>127.97</v>
      </c>
      <c r="I54" s="1" t="s">
        <v>52</v>
      </c>
      <c r="J54" s="54">
        <v>109.8</v>
      </c>
      <c r="K54" s="55" t="s">
        <v>85</v>
      </c>
      <c r="L54" s="54" t="s">
        <v>62</v>
      </c>
      <c r="M54" s="3"/>
      <c r="N54" s="4">
        <f t="shared" si="4"/>
        <v>127.97</v>
      </c>
      <c r="O54" s="4">
        <f t="shared" si="5"/>
        <v>109.8</v>
      </c>
      <c r="P54" s="4" t="str">
        <f t="shared" si="6"/>
        <v>D</v>
      </c>
      <c r="Q54" s="4">
        <f t="shared" si="7"/>
        <v>-18.170000000000002</v>
      </c>
      <c r="X54" s="34"/>
    </row>
    <row r="55" spans="1:24" ht="17.25" customHeight="1" x14ac:dyDescent="0.25">
      <c r="A55" s="4">
        <f t="shared" si="0"/>
        <v>-3.7299999999999898</v>
      </c>
      <c r="B55" s="4" t="str">
        <f t="shared" si="8"/>
        <v>E</v>
      </c>
      <c r="C55" s="4">
        <f t="shared" si="2"/>
        <v>115.04</v>
      </c>
      <c r="D55" s="4">
        <f t="shared" si="3"/>
        <v>118.77</v>
      </c>
      <c r="E55" s="3"/>
      <c r="F55" s="54" t="s">
        <v>76</v>
      </c>
      <c r="G55" s="55" t="s">
        <v>75</v>
      </c>
      <c r="H55" s="72">
        <v>115.04</v>
      </c>
      <c r="I55" s="1" t="s">
        <v>52</v>
      </c>
      <c r="J55" s="72">
        <v>118.77</v>
      </c>
      <c r="K55" s="55" t="s">
        <v>96</v>
      </c>
      <c r="L55" s="54" t="s">
        <v>97</v>
      </c>
      <c r="M55" s="3"/>
      <c r="N55" s="4">
        <f t="shared" si="4"/>
        <v>115.04</v>
      </c>
      <c r="O55" s="4">
        <f t="shared" si="5"/>
        <v>118.77</v>
      </c>
      <c r="P55" s="4" t="str">
        <f t="shared" si="6"/>
        <v>E</v>
      </c>
      <c r="Q55" s="4">
        <f t="shared" si="7"/>
        <v>3.7299999999999898</v>
      </c>
      <c r="X55" s="35"/>
    </row>
    <row r="56" spans="1:24" ht="17.25" customHeight="1" x14ac:dyDescent="0.25">
      <c r="A56" s="4">
        <f t="shared" si="0"/>
        <v>19.129999999999995</v>
      </c>
      <c r="B56" s="4" t="str">
        <f t="shared" si="8"/>
        <v>V</v>
      </c>
      <c r="C56" s="4">
        <f t="shared" si="2"/>
        <v>126.1</v>
      </c>
      <c r="D56" s="4">
        <f t="shared" si="3"/>
        <v>106.97</v>
      </c>
      <c r="E56" s="3"/>
      <c r="F56" s="54" t="s">
        <v>84</v>
      </c>
      <c r="G56" s="55" t="s">
        <v>64</v>
      </c>
      <c r="H56" s="54">
        <v>126.1</v>
      </c>
      <c r="I56" s="1" t="s">
        <v>52</v>
      </c>
      <c r="J56" s="1">
        <v>106.97</v>
      </c>
      <c r="K56" s="55" t="s">
        <v>81</v>
      </c>
      <c r="L56" s="54" t="s">
        <v>82</v>
      </c>
      <c r="M56" s="3"/>
      <c r="N56" s="4">
        <f t="shared" si="4"/>
        <v>126.1</v>
      </c>
      <c r="O56" s="4">
        <f t="shared" si="5"/>
        <v>106.97</v>
      </c>
      <c r="P56" s="4" t="str">
        <f t="shared" si="6"/>
        <v>D</v>
      </c>
      <c r="Q56" s="4">
        <f t="shared" si="7"/>
        <v>-19.129999999999995</v>
      </c>
      <c r="X56" s="34"/>
    </row>
    <row r="57" spans="1:24" ht="17.25" customHeight="1" x14ac:dyDescent="0.25">
      <c r="A57" s="4">
        <f t="shared" si="0"/>
        <v>-4.1500000000000057</v>
      </c>
      <c r="B57" s="4" t="str">
        <f t="shared" si="8"/>
        <v>E</v>
      </c>
      <c r="C57" s="4">
        <f t="shared" si="2"/>
        <v>116.57</v>
      </c>
      <c r="D57" s="4">
        <f t="shared" si="3"/>
        <v>120.72</v>
      </c>
      <c r="E57" s="3"/>
      <c r="F57" s="54" t="s">
        <v>68</v>
      </c>
      <c r="G57" s="55" t="s">
        <v>71</v>
      </c>
      <c r="H57" s="72">
        <v>116.57</v>
      </c>
      <c r="I57" s="1" t="s">
        <v>52</v>
      </c>
      <c r="J57" s="72">
        <v>120.72</v>
      </c>
      <c r="K57" s="55" t="s">
        <v>92</v>
      </c>
      <c r="L57" s="54" t="s">
        <v>93</v>
      </c>
      <c r="M57" s="3"/>
      <c r="N57" s="4">
        <f t="shared" si="4"/>
        <v>116.57</v>
      </c>
      <c r="O57" s="4">
        <f t="shared" si="5"/>
        <v>120.72</v>
      </c>
      <c r="P57" s="4" t="str">
        <f t="shared" si="6"/>
        <v>E</v>
      </c>
      <c r="Q57" s="4">
        <f t="shared" si="7"/>
        <v>4.1500000000000057</v>
      </c>
      <c r="X57" s="34"/>
    </row>
    <row r="58" spans="1:24" ht="17.25" customHeight="1" x14ac:dyDescent="0.25">
      <c r="A58" s="4">
        <f t="shared" si="0"/>
        <v>11.480000000000004</v>
      </c>
      <c r="B58" s="4" t="str">
        <f t="shared" si="8"/>
        <v>V</v>
      </c>
      <c r="C58" s="4">
        <f t="shared" si="2"/>
        <v>92.58</v>
      </c>
      <c r="D58" s="4">
        <f t="shared" si="3"/>
        <v>81.099999999999994</v>
      </c>
      <c r="E58" s="3"/>
      <c r="F58" s="54" t="s">
        <v>63</v>
      </c>
      <c r="G58" s="55" t="s">
        <v>87</v>
      </c>
      <c r="H58" s="54">
        <v>92.58</v>
      </c>
      <c r="I58" s="1" t="s">
        <v>52</v>
      </c>
      <c r="J58" s="1">
        <v>81.099999999999994</v>
      </c>
      <c r="K58" s="55" t="s">
        <v>90</v>
      </c>
      <c r="L58" s="54" t="s">
        <v>91</v>
      </c>
      <c r="M58" s="3"/>
      <c r="N58" s="4">
        <f t="shared" si="4"/>
        <v>92.58</v>
      </c>
      <c r="O58" s="4">
        <f t="shared" si="5"/>
        <v>81.099999999999994</v>
      </c>
      <c r="P58" s="4" t="str">
        <f t="shared" si="6"/>
        <v>D</v>
      </c>
      <c r="Q58" s="4">
        <f t="shared" si="7"/>
        <v>-11.480000000000004</v>
      </c>
      <c r="X58" s="34"/>
    </row>
    <row r="59" spans="1:24" ht="17.25" customHeight="1" x14ac:dyDescent="0.25">
      <c r="A59" s="4">
        <f t="shared" si="0"/>
        <v>7.3499999999999943</v>
      </c>
      <c r="B59" s="4" t="str">
        <f t="shared" si="8"/>
        <v>V</v>
      </c>
      <c r="C59" s="4">
        <f t="shared" si="2"/>
        <v>116.27</v>
      </c>
      <c r="D59" s="4">
        <f t="shared" si="3"/>
        <v>108.92</v>
      </c>
      <c r="E59" s="3"/>
      <c r="F59" s="54" t="s">
        <v>66</v>
      </c>
      <c r="G59" s="55" t="s">
        <v>67</v>
      </c>
      <c r="H59" s="54">
        <v>116.27</v>
      </c>
      <c r="I59" s="1" t="s">
        <v>52</v>
      </c>
      <c r="J59" s="1">
        <v>108.92</v>
      </c>
      <c r="K59" s="55" t="s">
        <v>69</v>
      </c>
      <c r="L59" s="54" t="s">
        <v>70</v>
      </c>
      <c r="M59" s="3"/>
      <c r="N59" s="4">
        <f t="shared" si="4"/>
        <v>116.27</v>
      </c>
      <c r="O59" s="4">
        <f t="shared" si="5"/>
        <v>108.92</v>
      </c>
      <c r="P59" s="4" t="str">
        <f t="shared" si="6"/>
        <v>D</v>
      </c>
      <c r="Q59" s="4">
        <f t="shared" si="7"/>
        <v>-7.3499999999999943</v>
      </c>
      <c r="X59" s="34"/>
    </row>
    <row r="60" spans="1:24" ht="17.25" customHeight="1" x14ac:dyDescent="0.25">
      <c r="A60" s="4">
        <f t="shared" si="0"/>
        <v>-22.549999999999997</v>
      </c>
      <c r="B60" s="4" t="str">
        <f t="shared" si="8"/>
        <v>D</v>
      </c>
      <c r="C60" s="4">
        <f t="shared" si="2"/>
        <v>103.77</v>
      </c>
      <c r="D60" s="4">
        <f t="shared" si="3"/>
        <v>126.32</v>
      </c>
      <c r="E60" s="3"/>
      <c r="F60" s="54" t="s">
        <v>61</v>
      </c>
      <c r="G60" s="55" t="s">
        <v>83</v>
      </c>
      <c r="H60" s="1">
        <v>103.77</v>
      </c>
      <c r="I60" s="1" t="s">
        <v>52</v>
      </c>
      <c r="J60" s="54">
        <v>126.32</v>
      </c>
      <c r="K60" s="55" t="s">
        <v>88</v>
      </c>
      <c r="L60" s="54" t="s">
        <v>89</v>
      </c>
      <c r="M60" s="3"/>
      <c r="N60" s="4">
        <f t="shared" si="4"/>
        <v>103.77</v>
      </c>
      <c r="O60" s="4">
        <f t="shared" si="5"/>
        <v>126.32</v>
      </c>
      <c r="P60" s="4" t="str">
        <f t="shared" si="6"/>
        <v>V</v>
      </c>
      <c r="Q60" s="4">
        <f t="shared" si="7"/>
        <v>22.549999999999997</v>
      </c>
      <c r="X60" s="34"/>
    </row>
    <row r="61" spans="1:24" ht="17.25" customHeight="1" x14ac:dyDescent="0.25">
      <c r="E61" s="3"/>
      <c r="F61" s="54" t="s">
        <v>7</v>
      </c>
      <c r="G61" s="12"/>
      <c r="H61" s="12"/>
      <c r="I61" s="12"/>
      <c r="J61" s="12"/>
      <c r="K61" s="12"/>
      <c r="L61" s="12"/>
      <c r="M61" s="3"/>
    </row>
    <row r="62" spans="1:24" ht="17.25" customHeight="1" x14ac:dyDescent="0.25">
      <c r="E62" s="3"/>
      <c r="F62" s="1" t="s">
        <v>1</v>
      </c>
      <c r="G62" s="54" t="s">
        <v>2</v>
      </c>
      <c r="H62" s="1"/>
      <c r="I62" s="1"/>
      <c r="J62" s="1"/>
      <c r="K62" s="54" t="s">
        <v>2</v>
      </c>
      <c r="L62" s="1" t="s">
        <v>1</v>
      </c>
      <c r="M62" s="3"/>
      <c r="X62" s="34"/>
    </row>
    <row r="63" spans="1:24" ht="17.25" customHeight="1" x14ac:dyDescent="0.25">
      <c r="A63" s="4">
        <f t="shared" si="0"/>
        <v>0</v>
      </c>
      <c r="B63" s="4" t="str">
        <f t="shared" si="8"/>
        <v>E</v>
      </c>
      <c r="C63" s="4">
        <f t="shared" si="2"/>
        <v>0</v>
      </c>
      <c r="D63" s="4">
        <f t="shared" si="3"/>
        <v>0</v>
      </c>
      <c r="E63" s="3"/>
      <c r="F63" s="54" t="s">
        <v>91</v>
      </c>
      <c r="G63" s="55" t="s">
        <v>90</v>
      </c>
      <c r="H63" s="1"/>
      <c r="I63" s="1" t="s">
        <v>52</v>
      </c>
      <c r="J63" s="1"/>
      <c r="K63" s="55" t="s">
        <v>94</v>
      </c>
      <c r="L63" s="54" t="s">
        <v>95</v>
      </c>
      <c r="M63" s="3"/>
      <c r="N63" s="4">
        <f t="shared" si="4"/>
        <v>0</v>
      </c>
      <c r="O63" s="4">
        <f t="shared" si="5"/>
        <v>0</v>
      </c>
      <c r="P63" s="4" t="str">
        <f t="shared" si="6"/>
        <v>E</v>
      </c>
      <c r="Q63" s="4">
        <f t="shared" si="7"/>
        <v>0</v>
      </c>
      <c r="X63" s="34"/>
    </row>
    <row r="64" spans="1:24" ht="17.25" customHeight="1" x14ac:dyDescent="0.25">
      <c r="A64" s="4">
        <f t="shared" si="0"/>
        <v>0</v>
      </c>
      <c r="B64" s="4" t="str">
        <f t="shared" si="8"/>
        <v>E</v>
      </c>
      <c r="C64" s="4">
        <f t="shared" si="2"/>
        <v>0</v>
      </c>
      <c r="D64" s="4">
        <f t="shared" si="3"/>
        <v>0</v>
      </c>
      <c r="E64" s="3"/>
      <c r="F64" s="54" t="s">
        <v>78</v>
      </c>
      <c r="G64" s="55" t="s">
        <v>77</v>
      </c>
      <c r="H64" s="1"/>
      <c r="I64" s="1" t="s">
        <v>52</v>
      </c>
      <c r="J64" s="1"/>
      <c r="K64" s="55" t="s">
        <v>64</v>
      </c>
      <c r="L64" s="54" t="s">
        <v>84</v>
      </c>
      <c r="M64" s="3"/>
      <c r="N64" s="4">
        <f t="shared" si="4"/>
        <v>0</v>
      </c>
      <c r="O64" s="4">
        <f t="shared" si="5"/>
        <v>0</v>
      </c>
      <c r="P64" s="4" t="str">
        <f t="shared" si="6"/>
        <v>E</v>
      </c>
      <c r="Q64" s="4">
        <f t="shared" si="7"/>
        <v>0</v>
      </c>
      <c r="X64" s="34"/>
    </row>
    <row r="65" spans="1:24" ht="17.25" customHeight="1" x14ac:dyDescent="0.25">
      <c r="A65" s="4">
        <f t="shared" si="0"/>
        <v>0</v>
      </c>
      <c r="B65" s="4" t="str">
        <f t="shared" si="8"/>
        <v>E</v>
      </c>
      <c r="C65" s="4">
        <f t="shared" si="2"/>
        <v>0</v>
      </c>
      <c r="D65" s="4">
        <f t="shared" si="3"/>
        <v>0</v>
      </c>
      <c r="E65" s="3"/>
      <c r="F65" s="54" t="s">
        <v>93</v>
      </c>
      <c r="G65" s="55" t="s">
        <v>92</v>
      </c>
      <c r="H65" s="1"/>
      <c r="I65" s="1" t="s">
        <v>52</v>
      </c>
      <c r="J65" s="1"/>
      <c r="K65" s="55" t="s">
        <v>75</v>
      </c>
      <c r="L65" s="54" t="s">
        <v>76</v>
      </c>
      <c r="M65" s="3"/>
      <c r="N65" s="4">
        <f t="shared" si="4"/>
        <v>0</v>
      </c>
      <c r="O65" s="4">
        <f t="shared" si="5"/>
        <v>0</v>
      </c>
      <c r="P65" s="4" t="str">
        <f t="shared" si="6"/>
        <v>E</v>
      </c>
      <c r="Q65" s="4">
        <f t="shared" si="7"/>
        <v>0</v>
      </c>
      <c r="X65" s="35"/>
    </row>
    <row r="66" spans="1:24" ht="17.25" customHeight="1" x14ac:dyDescent="0.25">
      <c r="A66" s="4">
        <f t="shared" si="0"/>
        <v>0</v>
      </c>
      <c r="B66" s="4" t="str">
        <f t="shared" si="8"/>
        <v>E</v>
      </c>
      <c r="C66" s="4">
        <f t="shared" si="2"/>
        <v>0</v>
      </c>
      <c r="D66" s="4">
        <f t="shared" si="3"/>
        <v>0</v>
      </c>
      <c r="E66" s="3"/>
      <c r="F66" s="54" t="s">
        <v>98</v>
      </c>
      <c r="G66" s="55" t="s">
        <v>99</v>
      </c>
      <c r="H66" s="1"/>
      <c r="I66" s="1" t="s">
        <v>52</v>
      </c>
      <c r="J66" s="1"/>
      <c r="K66" s="55" t="s">
        <v>79</v>
      </c>
      <c r="L66" s="54" t="s">
        <v>80</v>
      </c>
      <c r="M66" s="3"/>
      <c r="N66" s="4">
        <f t="shared" si="4"/>
        <v>0</v>
      </c>
      <c r="O66" s="4">
        <f t="shared" si="5"/>
        <v>0</v>
      </c>
      <c r="P66" s="4" t="str">
        <f t="shared" si="6"/>
        <v>E</v>
      </c>
      <c r="Q66" s="4">
        <f t="shared" si="7"/>
        <v>0</v>
      </c>
      <c r="X66" s="34"/>
    </row>
    <row r="67" spans="1:24" ht="17.25" customHeight="1" x14ac:dyDescent="0.25">
      <c r="A67" s="4">
        <f t="shared" si="0"/>
        <v>0</v>
      </c>
      <c r="B67" s="4" t="str">
        <f t="shared" si="8"/>
        <v>E</v>
      </c>
      <c r="C67" s="4">
        <f t="shared" si="2"/>
        <v>0</v>
      </c>
      <c r="D67" s="4">
        <f t="shared" si="3"/>
        <v>0</v>
      </c>
      <c r="E67" s="3"/>
      <c r="F67" s="54" t="s">
        <v>82</v>
      </c>
      <c r="G67" s="55" t="s">
        <v>81</v>
      </c>
      <c r="H67" s="1"/>
      <c r="I67" s="1" t="s">
        <v>52</v>
      </c>
      <c r="J67" s="1"/>
      <c r="K67" s="55" t="s">
        <v>87</v>
      </c>
      <c r="L67" s="54" t="s">
        <v>63</v>
      </c>
      <c r="M67" s="3"/>
      <c r="N67" s="4">
        <f t="shared" si="4"/>
        <v>0</v>
      </c>
      <c r="O67" s="4">
        <f t="shared" si="5"/>
        <v>0</v>
      </c>
      <c r="P67" s="4" t="str">
        <f t="shared" si="6"/>
        <v>E</v>
      </c>
      <c r="Q67" s="4">
        <f t="shared" si="7"/>
        <v>0</v>
      </c>
      <c r="X67" s="34"/>
    </row>
    <row r="68" spans="1:24" ht="17.25" customHeight="1" x14ac:dyDescent="0.25">
      <c r="A68" s="4">
        <f t="shared" ref="A68:A131" si="9">C68-D68</f>
        <v>0</v>
      </c>
      <c r="B68" s="4" t="str">
        <f t="shared" si="8"/>
        <v>E</v>
      </c>
      <c r="C68" s="4">
        <f t="shared" ref="C68:C131" si="10">H68</f>
        <v>0</v>
      </c>
      <c r="D68" s="4">
        <f t="shared" ref="D68:D131" si="11">J68</f>
        <v>0</v>
      </c>
      <c r="E68" s="3"/>
      <c r="F68" s="54" t="s">
        <v>60</v>
      </c>
      <c r="G68" s="55" t="s">
        <v>100</v>
      </c>
      <c r="H68" s="1"/>
      <c r="I68" s="1" t="s">
        <v>52</v>
      </c>
      <c r="J68" s="1"/>
      <c r="K68" s="55" t="s">
        <v>83</v>
      </c>
      <c r="L68" s="54" t="s">
        <v>61</v>
      </c>
      <c r="M68" s="3"/>
      <c r="N68" s="4">
        <f t="shared" ref="N68:N131" si="12">H68</f>
        <v>0</v>
      </c>
      <c r="O68" s="4">
        <f t="shared" ref="O68:O131" si="13">J68</f>
        <v>0</v>
      </c>
      <c r="P68" s="4" t="str">
        <f t="shared" ref="P68:P131" si="14">_xlfn.IFS(Q68&gt;=5,"V",Q68&lt;=-5,"D",Q68&lt;=-4.99,"E",Q68&lt;=4.99,"E")</f>
        <v>E</v>
      </c>
      <c r="Q68" s="4">
        <f t="shared" ref="Q68:Q131" si="15">J68-H68</f>
        <v>0</v>
      </c>
      <c r="X68" s="34"/>
    </row>
    <row r="69" spans="1:24" ht="17.25" customHeight="1" x14ac:dyDescent="0.25">
      <c r="A69" s="4">
        <f t="shared" si="9"/>
        <v>0</v>
      </c>
      <c r="B69" s="4" t="str">
        <f t="shared" si="8"/>
        <v>E</v>
      </c>
      <c r="C69" s="4">
        <f t="shared" si="10"/>
        <v>0</v>
      </c>
      <c r="D69" s="4">
        <f t="shared" si="11"/>
        <v>0</v>
      </c>
      <c r="E69" s="3"/>
      <c r="F69" s="54" t="s">
        <v>70</v>
      </c>
      <c r="G69" s="55" t="s">
        <v>69</v>
      </c>
      <c r="H69" s="1"/>
      <c r="I69" s="1" t="s">
        <v>52</v>
      </c>
      <c r="J69" s="1"/>
      <c r="K69" s="55" t="s">
        <v>73</v>
      </c>
      <c r="L69" s="54" t="s">
        <v>72</v>
      </c>
      <c r="M69" s="3"/>
      <c r="N69" s="4">
        <f t="shared" si="12"/>
        <v>0</v>
      </c>
      <c r="O69" s="4">
        <f t="shared" si="13"/>
        <v>0</v>
      </c>
      <c r="P69" s="4" t="str">
        <f t="shared" si="14"/>
        <v>E</v>
      </c>
      <c r="Q69" s="4">
        <f t="shared" si="15"/>
        <v>0</v>
      </c>
      <c r="X69" s="34"/>
    </row>
    <row r="70" spans="1:24" ht="17.25" customHeight="1" x14ac:dyDescent="0.25">
      <c r="A70" s="4">
        <f t="shared" si="9"/>
        <v>0</v>
      </c>
      <c r="B70" s="4" t="str">
        <f t="shared" si="8"/>
        <v>E</v>
      </c>
      <c r="C70" s="4">
        <f t="shared" si="10"/>
        <v>0</v>
      </c>
      <c r="D70" s="4">
        <f t="shared" si="11"/>
        <v>0</v>
      </c>
      <c r="E70" s="3"/>
      <c r="F70" s="54" t="s">
        <v>62</v>
      </c>
      <c r="G70" s="55" t="s">
        <v>85</v>
      </c>
      <c r="H70" s="1"/>
      <c r="I70" s="1" t="s">
        <v>52</v>
      </c>
      <c r="J70" s="1"/>
      <c r="K70" s="55" t="s">
        <v>71</v>
      </c>
      <c r="L70" s="54" t="s">
        <v>68</v>
      </c>
      <c r="M70" s="3"/>
      <c r="N70" s="4">
        <f t="shared" si="12"/>
        <v>0</v>
      </c>
      <c r="O70" s="4">
        <f t="shared" si="13"/>
        <v>0</v>
      </c>
      <c r="P70" s="4" t="str">
        <f t="shared" si="14"/>
        <v>E</v>
      </c>
      <c r="Q70" s="4">
        <f t="shared" si="15"/>
        <v>0</v>
      </c>
      <c r="X70" s="35"/>
    </row>
    <row r="71" spans="1:24" ht="17.25" customHeight="1" x14ac:dyDescent="0.25">
      <c r="A71" s="4">
        <f t="shared" si="9"/>
        <v>0</v>
      </c>
      <c r="B71" s="4" t="str">
        <f t="shared" si="8"/>
        <v>E</v>
      </c>
      <c r="C71" s="4">
        <f t="shared" si="10"/>
        <v>0</v>
      </c>
      <c r="D71" s="4">
        <f t="shared" si="11"/>
        <v>0</v>
      </c>
      <c r="E71" s="3"/>
      <c r="F71" s="54" t="s">
        <v>97</v>
      </c>
      <c r="G71" s="55" t="s">
        <v>96</v>
      </c>
      <c r="H71" s="1"/>
      <c r="I71" s="1" t="s">
        <v>52</v>
      </c>
      <c r="J71" s="1"/>
      <c r="K71" s="55" t="s">
        <v>74</v>
      </c>
      <c r="L71" s="54" t="s">
        <v>65</v>
      </c>
      <c r="M71" s="3"/>
      <c r="N71" s="4">
        <f t="shared" si="12"/>
        <v>0</v>
      </c>
      <c r="O71" s="4">
        <f t="shared" si="13"/>
        <v>0</v>
      </c>
      <c r="P71" s="4" t="str">
        <f t="shared" si="14"/>
        <v>E</v>
      </c>
      <c r="Q71" s="4">
        <f t="shared" si="15"/>
        <v>0</v>
      </c>
      <c r="X71" s="34"/>
    </row>
    <row r="72" spans="1:24" ht="17.25" customHeight="1" x14ac:dyDescent="0.25">
      <c r="A72" s="4">
        <f t="shared" si="9"/>
        <v>0</v>
      </c>
      <c r="B72" s="4" t="str">
        <f t="shared" si="8"/>
        <v>E</v>
      </c>
      <c r="C72" s="4">
        <f t="shared" si="10"/>
        <v>0</v>
      </c>
      <c r="D72" s="4">
        <f t="shared" si="11"/>
        <v>0</v>
      </c>
      <c r="E72" s="3"/>
      <c r="F72" s="54" t="s">
        <v>89</v>
      </c>
      <c r="G72" s="55" t="s">
        <v>88</v>
      </c>
      <c r="H72" s="1"/>
      <c r="I72" s="1" t="s">
        <v>52</v>
      </c>
      <c r="J72" s="1"/>
      <c r="K72" s="55" t="s">
        <v>67</v>
      </c>
      <c r="L72" s="54" t="s">
        <v>66</v>
      </c>
      <c r="M72" s="3"/>
      <c r="N72" s="4">
        <f t="shared" si="12"/>
        <v>0</v>
      </c>
      <c r="O72" s="4">
        <f t="shared" si="13"/>
        <v>0</v>
      </c>
      <c r="P72" s="4" t="str">
        <f t="shared" si="14"/>
        <v>E</v>
      </c>
      <c r="Q72" s="4">
        <f t="shared" si="15"/>
        <v>0</v>
      </c>
      <c r="X72" s="35"/>
    </row>
    <row r="73" spans="1:24" ht="17.25" customHeight="1" x14ac:dyDescent="0.25">
      <c r="E73" s="3"/>
      <c r="F73" s="54" t="s">
        <v>8</v>
      </c>
      <c r="G73" s="53"/>
      <c r="H73" s="53"/>
      <c r="I73" s="53"/>
      <c r="J73" s="53"/>
      <c r="K73" s="53"/>
      <c r="L73" s="53"/>
      <c r="M73" s="3"/>
    </row>
    <row r="74" spans="1:24" ht="17.25" customHeight="1" x14ac:dyDescent="0.25">
      <c r="E74" s="3"/>
      <c r="F74" s="1" t="s">
        <v>1</v>
      </c>
      <c r="G74" s="54" t="s">
        <v>2</v>
      </c>
      <c r="H74" s="1"/>
      <c r="I74" s="1"/>
      <c r="J74" s="1"/>
      <c r="K74" s="54" t="s">
        <v>2</v>
      </c>
      <c r="L74" s="1" t="s">
        <v>1</v>
      </c>
      <c r="M74" s="3"/>
    </row>
    <row r="75" spans="1:24" ht="17.25" customHeight="1" x14ac:dyDescent="0.25">
      <c r="A75" s="4">
        <f t="shared" si="9"/>
        <v>0</v>
      </c>
      <c r="B75" s="4" t="str">
        <f t="shared" si="8"/>
        <v>E</v>
      </c>
      <c r="C75" s="4">
        <f t="shared" si="10"/>
        <v>0</v>
      </c>
      <c r="D75" s="4">
        <f t="shared" si="11"/>
        <v>0</v>
      </c>
      <c r="E75" s="3"/>
      <c r="F75" s="54" t="s">
        <v>91</v>
      </c>
      <c r="G75" s="55" t="s">
        <v>90</v>
      </c>
      <c r="H75" s="1"/>
      <c r="I75" s="1" t="s">
        <v>52</v>
      </c>
      <c r="J75" s="1"/>
      <c r="K75" s="55" t="s">
        <v>88</v>
      </c>
      <c r="L75" s="54" t="s">
        <v>89</v>
      </c>
      <c r="M75" s="3"/>
      <c r="N75" s="4">
        <f t="shared" si="12"/>
        <v>0</v>
      </c>
      <c r="O75" s="4">
        <f t="shared" si="13"/>
        <v>0</v>
      </c>
      <c r="P75" s="4" t="str">
        <f t="shared" si="14"/>
        <v>E</v>
      </c>
      <c r="Q75" s="4">
        <f t="shared" si="15"/>
        <v>0</v>
      </c>
      <c r="X75" s="34"/>
    </row>
    <row r="76" spans="1:24" ht="17.25" customHeight="1" x14ac:dyDescent="0.25">
      <c r="A76" s="4">
        <f t="shared" si="9"/>
        <v>0</v>
      </c>
      <c r="B76" s="4" t="str">
        <f t="shared" si="8"/>
        <v>E</v>
      </c>
      <c r="C76" s="4">
        <f t="shared" si="10"/>
        <v>0</v>
      </c>
      <c r="D76" s="4">
        <f t="shared" si="11"/>
        <v>0</v>
      </c>
      <c r="E76" s="3"/>
      <c r="F76" s="54" t="s">
        <v>78</v>
      </c>
      <c r="G76" s="55" t="s">
        <v>77</v>
      </c>
      <c r="H76" s="1"/>
      <c r="I76" s="1" t="s">
        <v>52</v>
      </c>
      <c r="J76" s="1"/>
      <c r="K76" s="55" t="s">
        <v>85</v>
      </c>
      <c r="L76" s="54" t="s">
        <v>62</v>
      </c>
      <c r="M76" s="3"/>
      <c r="N76" s="4">
        <f t="shared" si="12"/>
        <v>0</v>
      </c>
      <c r="O76" s="4">
        <f t="shared" si="13"/>
        <v>0</v>
      </c>
      <c r="P76" s="4" t="str">
        <f t="shared" si="14"/>
        <v>E</v>
      </c>
      <c r="Q76" s="4">
        <f t="shared" si="15"/>
        <v>0</v>
      </c>
      <c r="X76" s="34"/>
    </row>
    <row r="77" spans="1:24" ht="17.25" customHeight="1" x14ac:dyDescent="0.25">
      <c r="A77" s="4">
        <f t="shared" si="9"/>
        <v>0</v>
      </c>
      <c r="B77" s="4" t="str">
        <f t="shared" si="8"/>
        <v>E</v>
      </c>
      <c r="C77" s="4">
        <f t="shared" si="10"/>
        <v>0</v>
      </c>
      <c r="D77" s="4">
        <f t="shared" si="11"/>
        <v>0</v>
      </c>
      <c r="E77" s="3"/>
      <c r="F77" s="54" t="s">
        <v>72</v>
      </c>
      <c r="G77" s="55" t="s">
        <v>73</v>
      </c>
      <c r="H77" s="1"/>
      <c r="I77" s="1" t="s">
        <v>52</v>
      </c>
      <c r="J77" s="1"/>
      <c r="K77" s="55" t="s">
        <v>64</v>
      </c>
      <c r="L77" s="54" t="s">
        <v>84</v>
      </c>
      <c r="M77" s="3"/>
      <c r="N77" s="4">
        <f t="shared" si="12"/>
        <v>0</v>
      </c>
      <c r="O77" s="4">
        <f t="shared" si="13"/>
        <v>0</v>
      </c>
      <c r="P77" s="4" t="str">
        <f t="shared" si="14"/>
        <v>E</v>
      </c>
      <c r="Q77" s="4">
        <f t="shared" si="15"/>
        <v>0</v>
      </c>
      <c r="X77" s="34"/>
    </row>
    <row r="78" spans="1:24" ht="17.25" customHeight="1" x14ac:dyDescent="0.25">
      <c r="A78" s="4">
        <f t="shared" si="9"/>
        <v>0</v>
      </c>
      <c r="B78" s="4" t="str">
        <f t="shared" si="8"/>
        <v>E</v>
      </c>
      <c r="C78" s="4">
        <f t="shared" si="10"/>
        <v>0</v>
      </c>
      <c r="D78" s="4">
        <f t="shared" si="11"/>
        <v>0</v>
      </c>
      <c r="E78" s="3"/>
      <c r="F78" s="54" t="s">
        <v>98</v>
      </c>
      <c r="G78" s="55" t="s">
        <v>99</v>
      </c>
      <c r="H78" s="1"/>
      <c r="I78" s="1" t="s">
        <v>52</v>
      </c>
      <c r="J78" s="1"/>
      <c r="K78" s="55" t="s">
        <v>94</v>
      </c>
      <c r="L78" s="54" t="s">
        <v>95</v>
      </c>
      <c r="M78" s="3"/>
      <c r="N78" s="4">
        <f t="shared" si="12"/>
        <v>0</v>
      </c>
      <c r="O78" s="4">
        <f t="shared" si="13"/>
        <v>0</v>
      </c>
      <c r="P78" s="4" t="str">
        <f t="shared" si="14"/>
        <v>E</v>
      </c>
      <c r="Q78" s="4">
        <f t="shared" si="15"/>
        <v>0</v>
      </c>
      <c r="X78" s="34"/>
    </row>
    <row r="79" spans="1:24" ht="17.25" customHeight="1" x14ac:dyDescent="0.25">
      <c r="A79" s="4">
        <f t="shared" si="9"/>
        <v>0</v>
      </c>
      <c r="B79" s="4" t="str">
        <f t="shared" ref="B79:B142" si="16">_xlfn.IFS(A79&gt;=5,"V",A79&lt;=-5,"D",A79&lt;=-4.99,"E",A79&lt;=4.99,"E")</f>
        <v>E</v>
      </c>
      <c r="C79" s="4">
        <f t="shared" si="10"/>
        <v>0</v>
      </c>
      <c r="D79" s="4">
        <f t="shared" si="11"/>
        <v>0</v>
      </c>
      <c r="E79" s="3"/>
      <c r="F79" s="54" t="s">
        <v>82</v>
      </c>
      <c r="G79" s="55" t="s">
        <v>81</v>
      </c>
      <c r="H79" s="1"/>
      <c r="I79" s="1" t="s">
        <v>52</v>
      </c>
      <c r="J79" s="1"/>
      <c r="K79" s="55" t="s">
        <v>92</v>
      </c>
      <c r="L79" s="54" t="s">
        <v>93</v>
      </c>
      <c r="M79" s="3"/>
      <c r="N79" s="4">
        <f t="shared" si="12"/>
        <v>0</v>
      </c>
      <c r="O79" s="4">
        <f t="shared" si="13"/>
        <v>0</v>
      </c>
      <c r="P79" s="4" t="str">
        <f t="shared" si="14"/>
        <v>E</v>
      </c>
      <c r="Q79" s="4">
        <f t="shared" si="15"/>
        <v>0</v>
      </c>
      <c r="X79" s="35"/>
    </row>
    <row r="80" spans="1:24" ht="17.25" customHeight="1" x14ac:dyDescent="0.25">
      <c r="A80" s="4">
        <f t="shared" si="9"/>
        <v>0</v>
      </c>
      <c r="B80" s="4" t="str">
        <f t="shared" si="16"/>
        <v>E</v>
      </c>
      <c r="C80" s="4">
        <f t="shared" si="10"/>
        <v>0</v>
      </c>
      <c r="D80" s="4">
        <f t="shared" si="11"/>
        <v>0</v>
      </c>
      <c r="E80" s="3"/>
      <c r="F80" s="54" t="s">
        <v>60</v>
      </c>
      <c r="G80" s="55" t="s">
        <v>100</v>
      </c>
      <c r="H80" s="1"/>
      <c r="I80" s="1" t="s">
        <v>52</v>
      </c>
      <c r="J80" s="1"/>
      <c r="K80" s="55" t="s">
        <v>71</v>
      </c>
      <c r="L80" s="54" t="s">
        <v>68</v>
      </c>
      <c r="M80" s="3"/>
      <c r="N80" s="4">
        <f t="shared" si="12"/>
        <v>0</v>
      </c>
      <c r="O80" s="4">
        <f t="shared" si="13"/>
        <v>0</v>
      </c>
      <c r="P80" s="4" t="str">
        <f t="shared" si="14"/>
        <v>E</v>
      </c>
      <c r="Q80" s="4">
        <f t="shared" si="15"/>
        <v>0</v>
      </c>
      <c r="X80" s="34"/>
    </row>
    <row r="81" spans="1:34" ht="17.25" customHeight="1" x14ac:dyDescent="0.25">
      <c r="A81" s="4">
        <f t="shared" si="9"/>
        <v>0</v>
      </c>
      <c r="B81" s="4" t="str">
        <f t="shared" si="16"/>
        <v>E</v>
      </c>
      <c r="C81" s="4">
        <f t="shared" si="10"/>
        <v>0</v>
      </c>
      <c r="D81" s="4">
        <f t="shared" si="11"/>
        <v>0</v>
      </c>
      <c r="E81" s="3"/>
      <c r="F81" s="54" t="s">
        <v>70</v>
      </c>
      <c r="G81" s="55" t="s">
        <v>69</v>
      </c>
      <c r="H81" s="1"/>
      <c r="I81" s="1" t="s">
        <v>52</v>
      </c>
      <c r="J81" s="1"/>
      <c r="K81" s="55" t="s">
        <v>79</v>
      </c>
      <c r="L81" s="54" t="s">
        <v>80</v>
      </c>
      <c r="M81" s="3"/>
      <c r="N81" s="4">
        <f t="shared" si="12"/>
        <v>0</v>
      </c>
      <c r="O81" s="4">
        <f t="shared" si="13"/>
        <v>0</v>
      </c>
      <c r="P81" s="4" t="str">
        <f t="shared" si="14"/>
        <v>E</v>
      </c>
      <c r="Q81" s="4">
        <f t="shared" si="15"/>
        <v>0</v>
      </c>
      <c r="X81" s="34"/>
    </row>
    <row r="82" spans="1:34" ht="17.25" customHeight="1" x14ac:dyDescent="0.25">
      <c r="A82" s="4">
        <f t="shared" si="9"/>
        <v>0</v>
      </c>
      <c r="B82" s="4" t="str">
        <f t="shared" si="16"/>
        <v>E</v>
      </c>
      <c r="C82" s="4">
        <f t="shared" si="10"/>
        <v>0</v>
      </c>
      <c r="D82" s="4">
        <f t="shared" si="11"/>
        <v>0</v>
      </c>
      <c r="E82" s="3"/>
      <c r="F82" s="54" t="s">
        <v>63</v>
      </c>
      <c r="G82" s="55" t="s">
        <v>87</v>
      </c>
      <c r="H82" s="1"/>
      <c r="I82" s="1" t="s">
        <v>52</v>
      </c>
      <c r="J82" s="1"/>
      <c r="K82" s="55" t="s">
        <v>74</v>
      </c>
      <c r="L82" s="54" t="s">
        <v>65</v>
      </c>
      <c r="M82" s="3"/>
      <c r="N82" s="4">
        <f t="shared" si="12"/>
        <v>0</v>
      </c>
      <c r="O82" s="4">
        <f t="shared" si="13"/>
        <v>0</v>
      </c>
      <c r="P82" s="4" t="str">
        <f t="shared" si="14"/>
        <v>E</v>
      </c>
      <c r="Q82" s="4">
        <f t="shared" si="15"/>
        <v>0</v>
      </c>
      <c r="X82" s="34"/>
    </row>
    <row r="83" spans="1:34" ht="17.25" customHeight="1" x14ac:dyDescent="0.25">
      <c r="A83" s="4">
        <f t="shared" si="9"/>
        <v>0</v>
      </c>
      <c r="B83" s="4" t="str">
        <f t="shared" si="16"/>
        <v>E</v>
      </c>
      <c r="C83" s="4">
        <f t="shared" si="10"/>
        <v>0</v>
      </c>
      <c r="D83" s="4">
        <f t="shared" si="11"/>
        <v>0</v>
      </c>
      <c r="E83" s="3"/>
      <c r="F83" s="54" t="s">
        <v>66</v>
      </c>
      <c r="G83" s="55" t="s">
        <v>67</v>
      </c>
      <c r="H83" s="1"/>
      <c r="I83" s="1" t="s">
        <v>52</v>
      </c>
      <c r="J83" s="1"/>
      <c r="K83" s="55" t="s">
        <v>96</v>
      </c>
      <c r="L83" s="54" t="s">
        <v>97</v>
      </c>
      <c r="M83" s="3"/>
      <c r="N83" s="4">
        <f t="shared" si="12"/>
        <v>0</v>
      </c>
      <c r="O83" s="4">
        <f t="shared" si="13"/>
        <v>0</v>
      </c>
      <c r="P83" s="4" t="str">
        <f t="shared" si="14"/>
        <v>E</v>
      </c>
      <c r="Q83" s="4">
        <f t="shared" si="15"/>
        <v>0</v>
      </c>
      <c r="X83" s="34"/>
    </row>
    <row r="84" spans="1:34" ht="17.25" customHeight="1" x14ac:dyDescent="0.25">
      <c r="A84" s="4">
        <f t="shared" si="9"/>
        <v>0</v>
      </c>
      <c r="B84" s="4" t="str">
        <f t="shared" si="16"/>
        <v>E</v>
      </c>
      <c r="C84" s="4">
        <f t="shared" si="10"/>
        <v>0</v>
      </c>
      <c r="D84" s="4">
        <f t="shared" si="11"/>
        <v>0</v>
      </c>
      <c r="E84" s="3"/>
      <c r="F84" s="54" t="s">
        <v>61</v>
      </c>
      <c r="G84" s="55" t="s">
        <v>83</v>
      </c>
      <c r="H84" s="1"/>
      <c r="I84" s="1" t="s">
        <v>52</v>
      </c>
      <c r="J84" s="1"/>
      <c r="K84" s="55" t="s">
        <v>75</v>
      </c>
      <c r="L84" s="54" t="s">
        <v>76</v>
      </c>
      <c r="M84" s="3"/>
      <c r="N84" s="4">
        <f t="shared" si="12"/>
        <v>0</v>
      </c>
      <c r="O84" s="4">
        <f t="shared" si="13"/>
        <v>0</v>
      </c>
      <c r="P84" s="4" t="str">
        <f t="shared" si="14"/>
        <v>E</v>
      </c>
      <c r="Q84" s="4">
        <f t="shared" si="15"/>
        <v>0</v>
      </c>
      <c r="X84" s="35"/>
    </row>
    <row r="85" spans="1:34" ht="17.25" customHeight="1" x14ac:dyDescent="0.25">
      <c r="E85" s="3"/>
      <c r="F85" s="54" t="s">
        <v>9</v>
      </c>
      <c r="G85" s="53"/>
      <c r="H85" s="53"/>
      <c r="I85" s="53"/>
      <c r="J85" s="53"/>
      <c r="K85" s="53"/>
      <c r="L85" s="53"/>
      <c r="M85" s="3"/>
      <c r="R85" s="13"/>
      <c r="S85" s="13"/>
      <c r="T85" s="13"/>
      <c r="U85" s="13"/>
      <c r="V85" s="13"/>
      <c r="W85" s="13"/>
      <c r="X85" s="36"/>
      <c r="Y85" s="13"/>
      <c r="Z85" s="37"/>
      <c r="AH85" s="13"/>
    </row>
    <row r="86" spans="1:34" ht="17.25" customHeight="1" x14ac:dyDescent="0.25">
      <c r="E86" s="3"/>
      <c r="F86" s="1" t="s">
        <v>1</v>
      </c>
      <c r="G86" s="54" t="s">
        <v>2</v>
      </c>
      <c r="H86" s="1"/>
      <c r="I86" s="1"/>
      <c r="J86" s="1"/>
      <c r="K86" s="54" t="s">
        <v>2</v>
      </c>
      <c r="L86" s="1" t="s">
        <v>1</v>
      </c>
      <c r="M86" s="3"/>
      <c r="R86" s="13"/>
      <c r="S86" s="13"/>
      <c r="T86" s="13"/>
      <c r="U86" s="13"/>
      <c r="V86" s="13"/>
      <c r="W86" s="13"/>
      <c r="X86" s="38"/>
      <c r="Y86" s="13"/>
      <c r="Z86" s="46"/>
      <c r="AH86" s="13"/>
    </row>
    <row r="87" spans="1:34" ht="17.25" customHeight="1" x14ac:dyDescent="0.25">
      <c r="A87" s="4">
        <f t="shared" si="9"/>
        <v>0</v>
      </c>
      <c r="B87" s="4" t="str">
        <f t="shared" si="16"/>
        <v>E</v>
      </c>
      <c r="C87" s="4">
        <f t="shared" si="10"/>
        <v>0</v>
      </c>
      <c r="D87" s="4">
        <f t="shared" si="11"/>
        <v>0</v>
      </c>
      <c r="E87" s="3"/>
      <c r="F87" s="54" t="s">
        <v>80</v>
      </c>
      <c r="G87" s="55" t="s">
        <v>79</v>
      </c>
      <c r="H87" s="1"/>
      <c r="I87" s="1" t="s">
        <v>52</v>
      </c>
      <c r="J87" s="1"/>
      <c r="K87" s="55" t="s">
        <v>96</v>
      </c>
      <c r="L87" s="54" t="s">
        <v>97</v>
      </c>
      <c r="M87" s="3"/>
      <c r="N87" s="4">
        <f t="shared" si="12"/>
        <v>0</v>
      </c>
      <c r="O87" s="4">
        <f t="shared" si="13"/>
        <v>0</v>
      </c>
      <c r="P87" s="4" t="str">
        <f t="shared" si="14"/>
        <v>E</v>
      </c>
      <c r="Q87" s="4">
        <f t="shared" si="15"/>
        <v>0</v>
      </c>
      <c r="R87" s="13"/>
      <c r="S87" s="13"/>
      <c r="T87" s="13"/>
      <c r="U87" s="13"/>
      <c r="V87" s="13"/>
      <c r="W87" s="13"/>
      <c r="X87" s="34"/>
      <c r="Y87" s="13"/>
      <c r="Z87" s="46"/>
      <c r="AH87" s="13"/>
    </row>
    <row r="88" spans="1:34" ht="17.25" customHeight="1" x14ac:dyDescent="0.25">
      <c r="A88" s="4">
        <f t="shared" si="9"/>
        <v>0</v>
      </c>
      <c r="B88" s="4" t="str">
        <f t="shared" si="16"/>
        <v>E</v>
      </c>
      <c r="C88" s="4">
        <f t="shared" si="10"/>
        <v>0</v>
      </c>
      <c r="D88" s="4">
        <f t="shared" si="11"/>
        <v>0</v>
      </c>
      <c r="E88" s="3"/>
      <c r="F88" s="54" t="s">
        <v>95</v>
      </c>
      <c r="G88" s="55" t="s">
        <v>94</v>
      </c>
      <c r="H88" s="1"/>
      <c r="I88" s="1" t="s">
        <v>52</v>
      </c>
      <c r="J88" s="1"/>
      <c r="K88" s="55" t="s">
        <v>87</v>
      </c>
      <c r="L88" s="54" t="s">
        <v>63</v>
      </c>
      <c r="M88" s="3"/>
      <c r="N88" s="4">
        <f t="shared" si="12"/>
        <v>0</v>
      </c>
      <c r="O88" s="4">
        <f t="shared" si="13"/>
        <v>0</v>
      </c>
      <c r="P88" s="4" t="str">
        <f t="shared" si="14"/>
        <v>E</v>
      </c>
      <c r="Q88" s="4">
        <f t="shared" si="15"/>
        <v>0</v>
      </c>
      <c r="R88" s="13"/>
      <c r="S88" s="13"/>
      <c r="T88" s="13"/>
      <c r="U88" s="13"/>
      <c r="V88" s="13"/>
      <c r="W88" s="13"/>
      <c r="X88" s="34"/>
      <c r="Y88" s="13"/>
      <c r="Z88" s="46"/>
      <c r="AH88" s="13"/>
    </row>
    <row r="89" spans="1:34" ht="17.25" customHeight="1" x14ac:dyDescent="0.25">
      <c r="A89" s="4">
        <f t="shared" si="9"/>
        <v>0</v>
      </c>
      <c r="B89" s="4" t="str">
        <f t="shared" si="16"/>
        <v>E</v>
      </c>
      <c r="C89" s="4">
        <f t="shared" si="10"/>
        <v>0</v>
      </c>
      <c r="D89" s="4">
        <f t="shared" si="11"/>
        <v>0</v>
      </c>
      <c r="E89" s="3"/>
      <c r="F89" s="54" t="s">
        <v>93</v>
      </c>
      <c r="G89" s="55" t="s">
        <v>92</v>
      </c>
      <c r="H89" s="1"/>
      <c r="I89" s="1" t="s">
        <v>52</v>
      </c>
      <c r="J89" s="1"/>
      <c r="K89" s="55" t="s">
        <v>90</v>
      </c>
      <c r="L89" s="54" t="s">
        <v>91</v>
      </c>
      <c r="M89" s="3"/>
      <c r="N89" s="4">
        <f t="shared" si="12"/>
        <v>0</v>
      </c>
      <c r="O89" s="4">
        <f t="shared" si="13"/>
        <v>0</v>
      </c>
      <c r="P89" s="4" t="str">
        <f t="shared" si="14"/>
        <v>E</v>
      </c>
      <c r="Q89" s="4">
        <f t="shared" si="15"/>
        <v>0</v>
      </c>
      <c r="R89" s="13"/>
      <c r="S89" s="13"/>
      <c r="T89" s="13"/>
      <c r="U89" s="13"/>
      <c r="V89" s="13"/>
      <c r="W89" s="13"/>
      <c r="X89" s="34"/>
      <c r="Y89" s="13"/>
      <c r="Z89" s="46"/>
      <c r="AH89" s="13"/>
    </row>
    <row r="90" spans="1:34" ht="17.25" customHeight="1" x14ac:dyDescent="0.25">
      <c r="A90" s="4">
        <f t="shared" si="9"/>
        <v>0</v>
      </c>
      <c r="B90" s="4" t="str">
        <f t="shared" si="16"/>
        <v>E</v>
      </c>
      <c r="C90" s="4">
        <f t="shared" si="10"/>
        <v>0</v>
      </c>
      <c r="D90" s="4">
        <f t="shared" si="11"/>
        <v>0</v>
      </c>
      <c r="E90" s="3"/>
      <c r="F90" s="54" t="s">
        <v>65</v>
      </c>
      <c r="G90" s="55" t="s">
        <v>74</v>
      </c>
      <c r="H90" s="1"/>
      <c r="I90" s="1" t="s">
        <v>52</v>
      </c>
      <c r="J90" s="1"/>
      <c r="K90" s="55" t="s">
        <v>73</v>
      </c>
      <c r="L90" s="54" t="s">
        <v>72</v>
      </c>
      <c r="M90" s="3"/>
      <c r="N90" s="4">
        <f t="shared" si="12"/>
        <v>0</v>
      </c>
      <c r="O90" s="4">
        <f t="shared" si="13"/>
        <v>0</v>
      </c>
      <c r="P90" s="4" t="str">
        <f t="shared" si="14"/>
        <v>E</v>
      </c>
      <c r="Q90" s="4">
        <f t="shared" si="15"/>
        <v>0</v>
      </c>
      <c r="R90" s="13"/>
      <c r="S90" s="13"/>
      <c r="T90" s="13"/>
      <c r="U90" s="13"/>
      <c r="V90" s="13"/>
      <c r="W90" s="13"/>
      <c r="X90" s="34"/>
      <c r="Y90" s="13"/>
      <c r="Z90" s="46"/>
      <c r="AH90" s="13"/>
    </row>
    <row r="91" spans="1:34" ht="17.25" customHeight="1" x14ac:dyDescent="0.25">
      <c r="A91" s="4">
        <f t="shared" si="9"/>
        <v>0</v>
      </c>
      <c r="B91" s="4" t="str">
        <f t="shared" si="16"/>
        <v>E</v>
      </c>
      <c r="C91" s="4">
        <f t="shared" si="10"/>
        <v>0</v>
      </c>
      <c r="D91" s="4">
        <f t="shared" si="11"/>
        <v>0</v>
      </c>
      <c r="E91" s="3"/>
      <c r="F91" s="54" t="s">
        <v>76</v>
      </c>
      <c r="G91" s="55" t="s">
        <v>75</v>
      </c>
      <c r="H91" s="1"/>
      <c r="I91" s="1" t="s">
        <v>52</v>
      </c>
      <c r="J91" s="1"/>
      <c r="K91" s="55" t="s">
        <v>77</v>
      </c>
      <c r="L91" s="54" t="s">
        <v>78</v>
      </c>
      <c r="M91" s="3"/>
      <c r="N91" s="4">
        <f t="shared" si="12"/>
        <v>0</v>
      </c>
      <c r="O91" s="4">
        <f t="shared" si="13"/>
        <v>0</v>
      </c>
      <c r="P91" s="4" t="str">
        <f t="shared" si="14"/>
        <v>E</v>
      </c>
      <c r="Q91" s="4">
        <f t="shared" si="15"/>
        <v>0</v>
      </c>
      <c r="R91" s="13"/>
      <c r="S91" s="13"/>
      <c r="T91" s="13"/>
      <c r="U91" s="13"/>
      <c r="V91" s="13"/>
      <c r="W91" s="13"/>
      <c r="X91" s="34"/>
      <c r="Y91" s="13"/>
      <c r="Z91" s="46"/>
      <c r="AH91" s="13"/>
    </row>
    <row r="92" spans="1:34" ht="17.25" customHeight="1" x14ac:dyDescent="0.25">
      <c r="A92" s="4">
        <f t="shared" si="9"/>
        <v>0</v>
      </c>
      <c r="B92" s="4" t="str">
        <f t="shared" si="16"/>
        <v>E</v>
      </c>
      <c r="C92" s="4">
        <f t="shared" si="10"/>
        <v>0</v>
      </c>
      <c r="D92" s="4">
        <f t="shared" si="11"/>
        <v>0</v>
      </c>
      <c r="E92" s="3"/>
      <c r="F92" s="54" t="s">
        <v>84</v>
      </c>
      <c r="G92" s="55" t="s">
        <v>64</v>
      </c>
      <c r="H92" s="1"/>
      <c r="I92" s="1" t="s">
        <v>52</v>
      </c>
      <c r="J92" s="1"/>
      <c r="K92" s="55" t="s">
        <v>69</v>
      </c>
      <c r="L92" s="54" t="s">
        <v>70</v>
      </c>
      <c r="M92" s="3"/>
      <c r="N92" s="4">
        <f t="shared" si="12"/>
        <v>0</v>
      </c>
      <c r="O92" s="4">
        <f t="shared" si="13"/>
        <v>0</v>
      </c>
      <c r="P92" s="4" t="str">
        <f t="shared" si="14"/>
        <v>E</v>
      </c>
      <c r="Q92" s="4">
        <f t="shared" si="15"/>
        <v>0</v>
      </c>
      <c r="R92" s="13"/>
      <c r="S92" s="13"/>
      <c r="T92" s="13"/>
      <c r="U92" s="13"/>
      <c r="V92" s="13"/>
      <c r="W92" s="13"/>
      <c r="X92" s="34"/>
      <c r="Y92" s="13"/>
      <c r="Z92" s="46"/>
      <c r="AH92" s="13"/>
    </row>
    <row r="93" spans="1:34" ht="17.25" customHeight="1" x14ac:dyDescent="0.25">
      <c r="A93" s="4">
        <f t="shared" si="9"/>
        <v>0</v>
      </c>
      <c r="B93" s="4" t="str">
        <f t="shared" si="16"/>
        <v>E</v>
      </c>
      <c r="C93" s="4">
        <f t="shared" si="10"/>
        <v>0</v>
      </c>
      <c r="D93" s="4">
        <f t="shared" si="11"/>
        <v>0</v>
      </c>
      <c r="E93" s="3"/>
      <c r="F93" s="54" t="s">
        <v>68</v>
      </c>
      <c r="G93" s="55" t="s">
        <v>71</v>
      </c>
      <c r="H93" s="1"/>
      <c r="I93" s="1" t="s">
        <v>52</v>
      </c>
      <c r="J93" s="1"/>
      <c r="K93" s="55" t="s">
        <v>83</v>
      </c>
      <c r="L93" s="54" t="s">
        <v>61</v>
      </c>
      <c r="M93" s="3"/>
      <c r="N93" s="4">
        <f t="shared" si="12"/>
        <v>0</v>
      </c>
      <c r="O93" s="4">
        <f t="shared" si="13"/>
        <v>0</v>
      </c>
      <c r="P93" s="4" t="str">
        <f t="shared" si="14"/>
        <v>E</v>
      </c>
      <c r="Q93" s="4">
        <f t="shared" si="15"/>
        <v>0</v>
      </c>
      <c r="R93" s="13"/>
      <c r="S93" s="13"/>
      <c r="T93" s="13"/>
      <c r="U93" s="13"/>
      <c r="V93" s="13"/>
      <c r="W93" s="13"/>
      <c r="X93" s="34"/>
      <c r="Y93" s="13"/>
      <c r="Z93" s="46"/>
      <c r="AB93" s="14"/>
      <c r="AC93" s="13"/>
      <c r="AH93" s="13"/>
    </row>
    <row r="94" spans="1:34" ht="17.25" customHeight="1" x14ac:dyDescent="0.25">
      <c r="A94" s="4">
        <f t="shared" si="9"/>
        <v>0</v>
      </c>
      <c r="B94" s="4" t="str">
        <f t="shared" si="16"/>
        <v>E</v>
      </c>
      <c r="C94" s="4">
        <f t="shared" si="10"/>
        <v>0</v>
      </c>
      <c r="D94" s="4">
        <f t="shared" si="11"/>
        <v>0</v>
      </c>
      <c r="E94" s="3"/>
      <c r="F94" s="54" t="s">
        <v>62</v>
      </c>
      <c r="G94" s="55" t="s">
        <v>85</v>
      </c>
      <c r="H94" s="1"/>
      <c r="I94" s="1" t="s">
        <v>52</v>
      </c>
      <c r="J94" s="1"/>
      <c r="K94" s="55" t="s">
        <v>81</v>
      </c>
      <c r="L94" s="54" t="s">
        <v>82</v>
      </c>
      <c r="M94" s="3"/>
      <c r="N94" s="4">
        <f t="shared" si="12"/>
        <v>0</v>
      </c>
      <c r="O94" s="4">
        <f t="shared" si="13"/>
        <v>0</v>
      </c>
      <c r="P94" s="4" t="str">
        <f t="shared" si="14"/>
        <v>E</v>
      </c>
      <c r="Q94" s="4">
        <f t="shared" si="15"/>
        <v>0</v>
      </c>
      <c r="R94" s="13"/>
      <c r="S94" s="13"/>
      <c r="T94" s="13"/>
      <c r="U94" s="13"/>
      <c r="V94" s="13"/>
      <c r="W94" s="13"/>
      <c r="X94" s="34"/>
      <c r="Y94" s="13"/>
      <c r="Z94" s="46"/>
      <c r="AB94" s="14"/>
      <c r="AC94" s="13"/>
      <c r="AH94" s="13"/>
    </row>
    <row r="95" spans="1:34" ht="17.25" customHeight="1" x14ac:dyDescent="0.25">
      <c r="A95" s="4">
        <f t="shared" si="9"/>
        <v>0</v>
      </c>
      <c r="B95" s="4" t="str">
        <f t="shared" si="16"/>
        <v>E</v>
      </c>
      <c r="C95" s="4">
        <f t="shared" si="10"/>
        <v>0</v>
      </c>
      <c r="D95" s="4">
        <f t="shared" si="11"/>
        <v>0</v>
      </c>
      <c r="E95" s="3"/>
      <c r="F95" s="54" t="s">
        <v>66</v>
      </c>
      <c r="G95" s="55" t="s">
        <v>67</v>
      </c>
      <c r="H95" s="1"/>
      <c r="I95" s="1" t="s">
        <v>52</v>
      </c>
      <c r="J95" s="1"/>
      <c r="K95" s="55" t="s">
        <v>99</v>
      </c>
      <c r="L95" s="54" t="s">
        <v>98</v>
      </c>
      <c r="M95" s="3"/>
      <c r="N95" s="4">
        <f t="shared" si="12"/>
        <v>0</v>
      </c>
      <c r="O95" s="4">
        <f t="shared" si="13"/>
        <v>0</v>
      </c>
      <c r="P95" s="4" t="str">
        <f t="shared" si="14"/>
        <v>E</v>
      </c>
      <c r="Q95" s="4">
        <f t="shared" si="15"/>
        <v>0</v>
      </c>
      <c r="R95" s="13"/>
      <c r="S95" s="13"/>
      <c r="T95" s="13"/>
      <c r="U95" s="13"/>
      <c r="V95" s="13"/>
      <c r="W95" s="13"/>
      <c r="X95" s="34"/>
      <c r="Y95" s="13"/>
      <c r="Z95" s="46"/>
      <c r="AH95" s="13"/>
    </row>
    <row r="96" spans="1:34" ht="17.25" customHeight="1" x14ac:dyDescent="0.25">
      <c r="A96" s="4">
        <f t="shared" si="9"/>
        <v>0</v>
      </c>
      <c r="B96" s="4" t="str">
        <f t="shared" si="16"/>
        <v>E</v>
      </c>
      <c r="C96" s="4">
        <f t="shared" si="10"/>
        <v>0</v>
      </c>
      <c r="D96" s="4">
        <f t="shared" si="11"/>
        <v>0</v>
      </c>
      <c r="E96" s="3"/>
      <c r="F96" s="54" t="s">
        <v>89</v>
      </c>
      <c r="G96" s="55" t="s">
        <v>88</v>
      </c>
      <c r="H96" s="1"/>
      <c r="I96" s="1" t="s">
        <v>52</v>
      </c>
      <c r="J96" s="1"/>
      <c r="K96" s="55" t="s">
        <v>100</v>
      </c>
      <c r="L96" s="54" t="s">
        <v>60</v>
      </c>
      <c r="M96" s="3"/>
      <c r="N96" s="4">
        <f t="shared" si="12"/>
        <v>0</v>
      </c>
      <c r="O96" s="4">
        <f t="shared" si="13"/>
        <v>0</v>
      </c>
      <c r="P96" s="4" t="str">
        <f t="shared" si="14"/>
        <v>E</v>
      </c>
      <c r="Q96" s="4">
        <f t="shared" si="15"/>
        <v>0</v>
      </c>
      <c r="R96" s="13"/>
      <c r="S96" s="13"/>
      <c r="T96" s="13"/>
      <c r="U96" s="13"/>
      <c r="V96" s="13"/>
      <c r="W96" s="13"/>
      <c r="X96" s="34"/>
      <c r="Y96" s="13"/>
      <c r="Z96" s="46"/>
      <c r="AH96" s="13"/>
    </row>
    <row r="97" spans="1:34" ht="17.25" customHeight="1" x14ac:dyDescent="0.25">
      <c r="E97" s="3"/>
      <c r="F97" s="54" t="s">
        <v>10</v>
      </c>
      <c r="G97" s="53"/>
      <c r="H97" s="53"/>
      <c r="I97" s="53"/>
      <c r="J97" s="53"/>
      <c r="K97" s="53"/>
      <c r="L97" s="53"/>
      <c r="M97" s="3"/>
      <c r="R97" s="13"/>
      <c r="S97" s="13"/>
      <c r="T97" s="13"/>
      <c r="U97" s="13"/>
      <c r="V97" s="13"/>
      <c r="W97" s="13"/>
      <c r="X97" s="13"/>
      <c r="Y97" s="13"/>
      <c r="Z97" s="46"/>
      <c r="AH97" s="13"/>
    </row>
    <row r="98" spans="1:34" ht="17.25" customHeight="1" x14ac:dyDescent="0.25">
      <c r="E98" s="3"/>
      <c r="F98" s="1" t="s">
        <v>1</v>
      </c>
      <c r="G98" s="54" t="s">
        <v>2</v>
      </c>
      <c r="H98" s="1"/>
      <c r="I98" s="1"/>
      <c r="J98" s="1"/>
      <c r="K98" s="54" t="s">
        <v>2</v>
      </c>
      <c r="L98" s="1" t="s">
        <v>1</v>
      </c>
      <c r="M98" s="3"/>
      <c r="R98" s="13"/>
      <c r="S98" s="13"/>
      <c r="T98" s="13"/>
      <c r="U98" s="13"/>
      <c r="V98" s="13"/>
      <c r="W98" s="13"/>
      <c r="X98" s="13"/>
      <c r="Y98" s="13"/>
      <c r="Z98" s="46"/>
      <c r="AH98" s="13"/>
    </row>
    <row r="99" spans="1:34" ht="17.25" customHeight="1" x14ac:dyDescent="0.25">
      <c r="A99" s="4">
        <f t="shared" si="9"/>
        <v>0</v>
      </c>
      <c r="B99" s="4" t="str">
        <f t="shared" si="16"/>
        <v>E</v>
      </c>
      <c r="C99" s="4">
        <f t="shared" si="10"/>
        <v>0</v>
      </c>
      <c r="D99" s="4">
        <f t="shared" si="11"/>
        <v>0</v>
      </c>
      <c r="E99" s="3"/>
      <c r="F99" s="54" t="s">
        <v>91</v>
      </c>
      <c r="G99" s="55" t="s">
        <v>90</v>
      </c>
      <c r="H99" s="1"/>
      <c r="I99" s="1" t="s">
        <v>52</v>
      </c>
      <c r="J99" s="1"/>
      <c r="K99" s="55" t="s">
        <v>79</v>
      </c>
      <c r="L99" s="54" t="s">
        <v>80</v>
      </c>
      <c r="M99" s="3"/>
      <c r="N99" s="4">
        <f t="shared" si="12"/>
        <v>0</v>
      </c>
      <c r="O99" s="4">
        <f t="shared" si="13"/>
        <v>0</v>
      </c>
      <c r="P99" s="4" t="str">
        <f t="shared" si="14"/>
        <v>E</v>
      </c>
      <c r="Q99" s="4">
        <f t="shared" si="15"/>
        <v>0</v>
      </c>
      <c r="R99" s="13"/>
      <c r="S99" s="13"/>
      <c r="T99" s="13"/>
      <c r="U99" s="13"/>
      <c r="V99" s="13"/>
      <c r="W99" s="13"/>
      <c r="X99" s="13"/>
      <c r="Y99" s="13"/>
      <c r="Z99" s="46"/>
      <c r="AH99" s="13"/>
    </row>
    <row r="100" spans="1:34" ht="17.25" customHeight="1" x14ac:dyDescent="0.25">
      <c r="A100" s="4">
        <f t="shared" si="9"/>
        <v>0</v>
      </c>
      <c r="B100" s="4" t="str">
        <f t="shared" si="16"/>
        <v>E</v>
      </c>
      <c r="C100" s="4">
        <f t="shared" si="10"/>
        <v>0</v>
      </c>
      <c r="D100" s="4">
        <f t="shared" si="11"/>
        <v>0</v>
      </c>
      <c r="E100" s="3"/>
      <c r="F100" s="54" t="s">
        <v>95</v>
      </c>
      <c r="G100" s="55" t="s">
        <v>94</v>
      </c>
      <c r="H100" s="1"/>
      <c r="I100" s="1" t="s">
        <v>52</v>
      </c>
      <c r="J100" s="1"/>
      <c r="K100" s="55" t="s">
        <v>88</v>
      </c>
      <c r="L100" s="54" t="s">
        <v>89</v>
      </c>
      <c r="M100" s="3"/>
      <c r="N100" s="4">
        <f t="shared" si="12"/>
        <v>0</v>
      </c>
      <c r="O100" s="4">
        <f t="shared" si="13"/>
        <v>0</v>
      </c>
      <c r="P100" s="4" t="str">
        <f t="shared" si="14"/>
        <v>E</v>
      </c>
      <c r="Q100" s="4">
        <f t="shared" si="15"/>
        <v>0</v>
      </c>
      <c r="R100" s="13"/>
      <c r="S100" s="13"/>
      <c r="T100" s="13"/>
      <c r="U100" s="13"/>
      <c r="V100" s="13"/>
      <c r="W100" s="13"/>
      <c r="X100" s="13"/>
      <c r="Y100" s="13"/>
      <c r="Z100" s="46"/>
      <c r="AH100" s="13"/>
    </row>
    <row r="101" spans="1:34" ht="17.25" customHeight="1" x14ac:dyDescent="0.25">
      <c r="A101" s="4">
        <f t="shared" si="9"/>
        <v>0</v>
      </c>
      <c r="B101" s="4" t="str">
        <f t="shared" si="16"/>
        <v>E</v>
      </c>
      <c r="C101" s="4">
        <f t="shared" si="10"/>
        <v>0</v>
      </c>
      <c r="D101" s="4">
        <f t="shared" si="11"/>
        <v>0</v>
      </c>
      <c r="E101" s="3"/>
      <c r="F101" s="54" t="s">
        <v>93</v>
      </c>
      <c r="G101" s="55" t="s">
        <v>92</v>
      </c>
      <c r="H101" s="1"/>
      <c r="I101" s="1" t="s">
        <v>52</v>
      </c>
      <c r="J101" s="1"/>
      <c r="K101" s="55" t="s">
        <v>74</v>
      </c>
      <c r="L101" s="54" t="s">
        <v>65</v>
      </c>
      <c r="M101" s="3"/>
      <c r="N101" s="4">
        <f t="shared" si="12"/>
        <v>0</v>
      </c>
      <c r="O101" s="4">
        <f t="shared" si="13"/>
        <v>0</v>
      </c>
      <c r="P101" s="4" t="str">
        <f t="shared" si="14"/>
        <v>E</v>
      </c>
      <c r="Q101" s="4">
        <f t="shared" si="15"/>
        <v>0</v>
      </c>
      <c r="R101" s="13"/>
      <c r="S101" s="13"/>
      <c r="T101" s="13"/>
      <c r="U101" s="13"/>
      <c r="V101" s="13"/>
      <c r="W101" s="13"/>
      <c r="X101" s="13"/>
      <c r="Y101" s="13"/>
      <c r="Z101" s="46"/>
      <c r="AH101" s="13"/>
    </row>
    <row r="102" spans="1:34" ht="17.25" customHeight="1" x14ac:dyDescent="0.25">
      <c r="A102" s="4">
        <f t="shared" si="9"/>
        <v>0</v>
      </c>
      <c r="B102" s="4" t="str">
        <f t="shared" si="16"/>
        <v>E</v>
      </c>
      <c r="C102" s="4">
        <f t="shared" si="10"/>
        <v>0</v>
      </c>
      <c r="D102" s="4">
        <f t="shared" si="11"/>
        <v>0</v>
      </c>
      <c r="E102" s="3"/>
      <c r="F102" s="54" t="s">
        <v>98</v>
      </c>
      <c r="G102" s="55" t="s">
        <v>99</v>
      </c>
      <c r="H102" s="1"/>
      <c r="I102" s="1" t="s">
        <v>52</v>
      </c>
      <c r="J102" s="1"/>
      <c r="K102" s="55" t="s">
        <v>81</v>
      </c>
      <c r="L102" s="54" t="s">
        <v>82</v>
      </c>
      <c r="M102" s="3"/>
      <c r="N102" s="4">
        <f t="shared" si="12"/>
        <v>0</v>
      </c>
      <c r="O102" s="4">
        <f t="shared" si="13"/>
        <v>0</v>
      </c>
      <c r="P102" s="4" t="str">
        <f t="shared" si="14"/>
        <v>E</v>
      </c>
      <c r="Q102" s="4">
        <f t="shared" si="15"/>
        <v>0</v>
      </c>
      <c r="R102" s="13"/>
      <c r="S102" s="13"/>
      <c r="T102" s="13"/>
      <c r="U102" s="13"/>
      <c r="V102" s="13"/>
      <c r="W102" s="13"/>
      <c r="X102" s="13"/>
      <c r="Y102" s="13"/>
      <c r="Z102" s="46"/>
      <c r="AH102" s="13"/>
    </row>
    <row r="103" spans="1:34" ht="17.25" customHeight="1" x14ac:dyDescent="0.25">
      <c r="A103" s="4">
        <f t="shared" si="9"/>
        <v>0</v>
      </c>
      <c r="B103" s="4" t="str">
        <f t="shared" si="16"/>
        <v>E</v>
      </c>
      <c r="C103" s="4">
        <f t="shared" si="10"/>
        <v>0</v>
      </c>
      <c r="D103" s="4">
        <f t="shared" si="11"/>
        <v>0</v>
      </c>
      <c r="E103" s="3"/>
      <c r="F103" s="54" t="s">
        <v>76</v>
      </c>
      <c r="G103" s="55" t="s">
        <v>75</v>
      </c>
      <c r="H103" s="1"/>
      <c r="I103" s="1" t="s">
        <v>52</v>
      </c>
      <c r="J103" s="1"/>
      <c r="K103" s="55" t="s">
        <v>73</v>
      </c>
      <c r="L103" s="54" t="s">
        <v>72</v>
      </c>
      <c r="M103" s="3"/>
      <c r="N103" s="4">
        <f t="shared" si="12"/>
        <v>0</v>
      </c>
      <c r="O103" s="4">
        <f t="shared" si="13"/>
        <v>0</v>
      </c>
      <c r="P103" s="4" t="str">
        <f t="shared" si="14"/>
        <v>E</v>
      </c>
      <c r="Q103" s="4">
        <f t="shared" si="15"/>
        <v>0</v>
      </c>
      <c r="R103" s="13"/>
      <c r="S103" s="13"/>
      <c r="T103" s="13"/>
      <c r="U103" s="13"/>
      <c r="V103" s="13"/>
      <c r="W103" s="13"/>
      <c r="X103" s="13"/>
      <c r="Y103" s="13"/>
      <c r="Z103" s="46"/>
      <c r="AH103" s="13"/>
    </row>
    <row r="104" spans="1:34" ht="17.25" customHeight="1" x14ac:dyDescent="0.25">
      <c r="A104" s="4">
        <f t="shared" si="9"/>
        <v>0</v>
      </c>
      <c r="B104" s="4" t="str">
        <f t="shared" si="16"/>
        <v>E</v>
      </c>
      <c r="C104" s="4">
        <f t="shared" si="10"/>
        <v>0</v>
      </c>
      <c r="D104" s="4">
        <f t="shared" si="11"/>
        <v>0</v>
      </c>
      <c r="E104" s="3"/>
      <c r="F104" s="54" t="s">
        <v>84</v>
      </c>
      <c r="G104" s="55" t="s">
        <v>64</v>
      </c>
      <c r="H104" s="1"/>
      <c r="I104" s="1" t="s">
        <v>52</v>
      </c>
      <c r="J104" s="1"/>
      <c r="K104" s="55" t="s">
        <v>67</v>
      </c>
      <c r="L104" s="54" t="s">
        <v>66</v>
      </c>
      <c r="M104" s="3"/>
      <c r="N104" s="4">
        <f t="shared" si="12"/>
        <v>0</v>
      </c>
      <c r="O104" s="4">
        <f t="shared" si="13"/>
        <v>0</v>
      </c>
      <c r="P104" s="4" t="str">
        <f t="shared" si="14"/>
        <v>E</v>
      </c>
      <c r="Q104" s="4">
        <f t="shared" si="15"/>
        <v>0</v>
      </c>
      <c r="R104" s="13"/>
      <c r="S104" s="13"/>
      <c r="T104" s="13"/>
      <c r="U104" s="13"/>
      <c r="V104" s="13"/>
      <c r="W104" s="13"/>
      <c r="X104" s="13"/>
      <c r="Y104" s="13"/>
      <c r="Z104" s="46"/>
      <c r="AH104" s="13"/>
    </row>
    <row r="105" spans="1:34" ht="17.25" customHeight="1" x14ac:dyDescent="0.25">
      <c r="A105" s="4">
        <f t="shared" si="9"/>
        <v>0</v>
      </c>
      <c r="B105" s="4" t="str">
        <f t="shared" si="16"/>
        <v>E</v>
      </c>
      <c r="C105" s="4">
        <f t="shared" si="10"/>
        <v>0</v>
      </c>
      <c r="D105" s="4">
        <f t="shared" si="11"/>
        <v>0</v>
      </c>
      <c r="E105" s="3"/>
      <c r="F105" s="54" t="s">
        <v>70</v>
      </c>
      <c r="G105" s="55" t="s">
        <v>69</v>
      </c>
      <c r="H105" s="1"/>
      <c r="I105" s="1" t="s">
        <v>52</v>
      </c>
      <c r="J105" s="1"/>
      <c r="K105" s="55" t="s">
        <v>100</v>
      </c>
      <c r="L105" s="54" t="s">
        <v>60</v>
      </c>
      <c r="M105" s="3"/>
      <c r="N105" s="4">
        <f t="shared" si="12"/>
        <v>0</v>
      </c>
      <c r="O105" s="4">
        <f t="shared" si="13"/>
        <v>0</v>
      </c>
      <c r="P105" s="4" t="str">
        <f t="shared" si="14"/>
        <v>E</v>
      </c>
      <c r="Q105" s="4">
        <f t="shared" si="15"/>
        <v>0</v>
      </c>
      <c r="R105" s="37"/>
      <c r="S105" s="37"/>
      <c r="T105" s="37"/>
      <c r="U105" s="37"/>
      <c r="V105" s="37"/>
      <c r="W105" s="37"/>
      <c r="X105" s="37"/>
      <c r="Y105" s="37"/>
      <c r="Z105" s="46"/>
      <c r="AH105" s="37"/>
    </row>
    <row r="106" spans="1:34" ht="17.25" customHeight="1" x14ac:dyDescent="0.25">
      <c r="A106" s="4">
        <f t="shared" si="9"/>
        <v>0</v>
      </c>
      <c r="B106" s="4" t="str">
        <f t="shared" si="16"/>
        <v>E</v>
      </c>
      <c r="C106" s="4">
        <f t="shared" si="10"/>
        <v>0</v>
      </c>
      <c r="D106" s="4">
        <f t="shared" si="11"/>
        <v>0</v>
      </c>
      <c r="E106" s="3"/>
      <c r="F106" s="54" t="s">
        <v>63</v>
      </c>
      <c r="G106" s="55" t="s">
        <v>87</v>
      </c>
      <c r="H106" s="1"/>
      <c r="I106" s="1" t="s">
        <v>52</v>
      </c>
      <c r="J106" s="1"/>
      <c r="K106" s="55" t="s">
        <v>77</v>
      </c>
      <c r="L106" s="54" t="s">
        <v>78</v>
      </c>
      <c r="M106" s="3"/>
      <c r="N106" s="4">
        <f t="shared" si="12"/>
        <v>0</v>
      </c>
      <c r="O106" s="4">
        <f t="shared" si="13"/>
        <v>0</v>
      </c>
      <c r="P106" s="4" t="str">
        <f t="shared" si="14"/>
        <v>E</v>
      </c>
      <c r="Q106" s="4">
        <f t="shared" si="15"/>
        <v>0</v>
      </c>
    </row>
    <row r="107" spans="1:34" ht="17.25" customHeight="1" x14ac:dyDescent="0.25">
      <c r="A107" s="4">
        <f t="shared" si="9"/>
        <v>0</v>
      </c>
      <c r="B107" s="4" t="str">
        <f t="shared" si="16"/>
        <v>E</v>
      </c>
      <c r="C107" s="4">
        <f t="shared" si="10"/>
        <v>0</v>
      </c>
      <c r="D107" s="4">
        <f t="shared" si="11"/>
        <v>0</v>
      </c>
      <c r="E107" s="3"/>
      <c r="F107" s="54" t="s">
        <v>97</v>
      </c>
      <c r="G107" s="55" t="s">
        <v>96</v>
      </c>
      <c r="H107" s="1"/>
      <c r="I107" s="1" t="s">
        <v>52</v>
      </c>
      <c r="J107" s="1"/>
      <c r="K107" s="55" t="s">
        <v>71</v>
      </c>
      <c r="L107" s="54" t="s">
        <v>68</v>
      </c>
      <c r="M107" s="3"/>
      <c r="N107" s="4">
        <f t="shared" si="12"/>
        <v>0</v>
      </c>
      <c r="O107" s="4">
        <f t="shared" si="13"/>
        <v>0</v>
      </c>
      <c r="P107" s="4" t="str">
        <f t="shared" si="14"/>
        <v>E</v>
      </c>
      <c r="Q107" s="4">
        <f t="shared" si="15"/>
        <v>0</v>
      </c>
    </row>
    <row r="108" spans="1:34" ht="17.25" customHeight="1" x14ac:dyDescent="0.25">
      <c r="A108" s="4">
        <f t="shared" si="9"/>
        <v>0</v>
      </c>
      <c r="B108" s="4" t="str">
        <f t="shared" si="16"/>
        <v>E</v>
      </c>
      <c r="C108" s="4">
        <f t="shared" si="10"/>
        <v>0</v>
      </c>
      <c r="D108" s="4">
        <f t="shared" si="11"/>
        <v>0</v>
      </c>
      <c r="E108" s="3"/>
      <c r="F108" s="54" t="s">
        <v>61</v>
      </c>
      <c r="G108" s="55" t="s">
        <v>83</v>
      </c>
      <c r="H108" s="1"/>
      <c r="I108" s="1" t="s">
        <v>52</v>
      </c>
      <c r="J108" s="1"/>
      <c r="K108" s="55" t="s">
        <v>85</v>
      </c>
      <c r="L108" s="54" t="s">
        <v>62</v>
      </c>
      <c r="M108" s="3"/>
      <c r="N108" s="4">
        <f t="shared" si="12"/>
        <v>0</v>
      </c>
      <c r="O108" s="4">
        <f t="shared" si="13"/>
        <v>0</v>
      </c>
      <c r="P108" s="4" t="str">
        <f t="shared" si="14"/>
        <v>E</v>
      </c>
      <c r="Q108" s="4">
        <f t="shared" si="15"/>
        <v>0</v>
      </c>
    </row>
    <row r="109" spans="1:34" ht="17.25" customHeight="1" x14ac:dyDescent="0.25">
      <c r="E109" s="3"/>
      <c r="F109" s="54" t="s">
        <v>11</v>
      </c>
      <c r="G109" s="53"/>
      <c r="H109" s="53"/>
      <c r="I109" s="53"/>
      <c r="J109" s="53"/>
      <c r="K109" s="53"/>
      <c r="L109" s="53"/>
      <c r="M109" s="3"/>
    </row>
    <row r="110" spans="1:34" ht="17.25" customHeight="1" x14ac:dyDescent="0.25">
      <c r="E110" s="3"/>
      <c r="F110" s="1" t="s">
        <v>1</v>
      </c>
      <c r="G110" s="54" t="s">
        <v>2</v>
      </c>
      <c r="H110" s="1"/>
      <c r="I110" s="1"/>
      <c r="J110" s="1"/>
      <c r="K110" s="54" t="s">
        <v>2</v>
      </c>
      <c r="L110" s="1" t="s">
        <v>1</v>
      </c>
      <c r="M110" s="3"/>
    </row>
    <row r="111" spans="1:34" ht="17.25" customHeight="1" x14ac:dyDescent="0.25">
      <c r="A111" s="4">
        <f t="shared" si="9"/>
        <v>0</v>
      </c>
      <c r="B111" s="4" t="str">
        <f t="shared" si="16"/>
        <v>E</v>
      </c>
      <c r="C111" s="4">
        <f t="shared" si="10"/>
        <v>0</v>
      </c>
      <c r="D111" s="4">
        <f t="shared" si="11"/>
        <v>0</v>
      </c>
      <c r="E111" s="3"/>
      <c r="F111" s="54" t="s">
        <v>91</v>
      </c>
      <c r="G111" s="55" t="s">
        <v>90</v>
      </c>
      <c r="H111" s="1"/>
      <c r="I111" s="1" t="s">
        <v>52</v>
      </c>
      <c r="J111" s="1"/>
      <c r="K111" s="55" t="s">
        <v>75</v>
      </c>
      <c r="L111" s="54" t="s">
        <v>76</v>
      </c>
      <c r="M111" s="3"/>
      <c r="N111" s="4">
        <f t="shared" si="12"/>
        <v>0</v>
      </c>
      <c r="O111" s="4">
        <f t="shared" si="13"/>
        <v>0</v>
      </c>
      <c r="P111" s="4" t="str">
        <f t="shared" si="14"/>
        <v>E</v>
      </c>
      <c r="Q111" s="4">
        <f t="shared" si="15"/>
        <v>0</v>
      </c>
    </row>
    <row r="112" spans="1:34" ht="17.25" customHeight="1" x14ac:dyDescent="0.25">
      <c r="A112" s="4">
        <f t="shared" si="9"/>
        <v>0</v>
      </c>
      <c r="B112" s="4" t="str">
        <f t="shared" si="16"/>
        <v>E</v>
      </c>
      <c r="C112" s="4">
        <f t="shared" si="10"/>
        <v>0</v>
      </c>
      <c r="D112" s="4">
        <f t="shared" si="11"/>
        <v>0</v>
      </c>
      <c r="E112" s="3"/>
      <c r="F112" s="54" t="s">
        <v>78</v>
      </c>
      <c r="G112" s="55" t="s">
        <v>77</v>
      </c>
      <c r="H112" s="1"/>
      <c r="I112" s="1" t="s">
        <v>52</v>
      </c>
      <c r="J112" s="1"/>
      <c r="K112" s="55" t="s">
        <v>94</v>
      </c>
      <c r="L112" s="54" t="s">
        <v>95</v>
      </c>
      <c r="M112" s="3"/>
      <c r="N112" s="4">
        <f t="shared" si="12"/>
        <v>0</v>
      </c>
      <c r="O112" s="4">
        <f t="shared" si="13"/>
        <v>0</v>
      </c>
      <c r="P112" s="4" t="str">
        <f t="shared" si="14"/>
        <v>E</v>
      </c>
      <c r="Q112" s="4">
        <f t="shared" si="15"/>
        <v>0</v>
      </c>
    </row>
    <row r="113" spans="1:17" ht="17.25" customHeight="1" x14ac:dyDescent="0.25">
      <c r="A113" s="4">
        <f t="shared" si="9"/>
        <v>0</v>
      </c>
      <c r="B113" s="4" t="str">
        <f t="shared" si="16"/>
        <v>E</v>
      </c>
      <c r="C113" s="4">
        <f t="shared" si="10"/>
        <v>0</v>
      </c>
      <c r="D113" s="4">
        <f t="shared" si="11"/>
        <v>0</v>
      </c>
      <c r="E113" s="3"/>
      <c r="F113" s="54" t="s">
        <v>72</v>
      </c>
      <c r="G113" s="55" t="s">
        <v>73</v>
      </c>
      <c r="H113" s="1"/>
      <c r="I113" s="1" t="s">
        <v>52</v>
      </c>
      <c r="J113" s="1"/>
      <c r="K113" s="55" t="s">
        <v>71</v>
      </c>
      <c r="L113" s="54" t="s">
        <v>68</v>
      </c>
      <c r="M113" s="3"/>
      <c r="N113" s="4">
        <f t="shared" si="12"/>
        <v>0</v>
      </c>
      <c r="O113" s="4">
        <f t="shared" si="13"/>
        <v>0</v>
      </c>
      <c r="P113" s="4" t="str">
        <f t="shared" si="14"/>
        <v>E</v>
      </c>
      <c r="Q113" s="4">
        <f t="shared" si="15"/>
        <v>0</v>
      </c>
    </row>
    <row r="114" spans="1:17" ht="17.25" customHeight="1" x14ac:dyDescent="0.25">
      <c r="A114" s="4">
        <f t="shared" si="9"/>
        <v>0</v>
      </c>
      <c r="B114" s="4" t="str">
        <f t="shared" si="16"/>
        <v>E</v>
      </c>
      <c r="C114" s="4">
        <f t="shared" si="10"/>
        <v>0</v>
      </c>
      <c r="D114" s="4">
        <f t="shared" si="11"/>
        <v>0</v>
      </c>
      <c r="E114" s="3"/>
      <c r="F114" s="54" t="s">
        <v>98</v>
      </c>
      <c r="G114" s="55" t="s">
        <v>99</v>
      </c>
      <c r="H114" s="1"/>
      <c r="I114" s="1" t="s">
        <v>52</v>
      </c>
      <c r="J114" s="1"/>
      <c r="K114" s="55" t="s">
        <v>92</v>
      </c>
      <c r="L114" s="54" t="s">
        <v>93</v>
      </c>
      <c r="M114" s="3"/>
      <c r="N114" s="4">
        <f t="shared" si="12"/>
        <v>0</v>
      </c>
      <c r="O114" s="4">
        <f t="shared" si="13"/>
        <v>0</v>
      </c>
      <c r="P114" s="4" t="str">
        <f t="shared" si="14"/>
        <v>E</v>
      </c>
      <c r="Q114" s="4">
        <f t="shared" si="15"/>
        <v>0</v>
      </c>
    </row>
    <row r="115" spans="1:17" ht="17.25" customHeight="1" x14ac:dyDescent="0.25">
      <c r="A115" s="4">
        <f t="shared" si="9"/>
        <v>0</v>
      </c>
      <c r="B115" s="4" t="str">
        <f t="shared" si="16"/>
        <v>E</v>
      </c>
      <c r="C115" s="4">
        <f t="shared" si="10"/>
        <v>0</v>
      </c>
      <c r="D115" s="4">
        <f t="shared" si="11"/>
        <v>0</v>
      </c>
      <c r="E115" s="3"/>
      <c r="F115" s="54" t="s">
        <v>82</v>
      </c>
      <c r="G115" s="55" t="s">
        <v>81</v>
      </c>
      <c r="H115" s="1"/>
      <c r="I115" s="1" t="s">
        <v>52</v>
      </c>
      <c r="J115" s="1"/>
      <c r="K115" s="55" t="s">
        <v>74</v>
      </c>
      <c r="L115" s="54" t="s">
        <v>65</v>
      </c>
      <c r="M115" s="3"/>
      <c r="N115" s="4">
        <f t="shared" si="12"/>
        <v>0</v>
      </c>
      <c r="O115" s="4">
        <f t="shared" si="13"/>
        <v>0</v>
      </c>
      <c r="P115" s="4" t="str">
        <f t="shared" si="14"/>
        <v>E</v>
      </c>
      <c r="Q115" s="4">
        <f t="shared" si="15"/>
        <v>0</v>
      </c>
    </row>
    <row r="116" spans="1:17" ht="17.25" customHeight="1" x14ac:dyDescent="0.25">
      <c r="A116" s="4">
        <f t="shared" si="9"/>
        <v>0</v>
      </c>
      <c r="B116" s="4" t="str">
        <f t="shared" si="16"/>
        <v>E</v>
      </c>
      <c r="C116" s="4">
        <f t="shared" si="10"/>
        <v>0</v>
      </c>
      <c r="D116" s="4">
        <f t="shared" si="11"/>
        <v>0</v>
      </c>
      <c r="E116" s="3"/>
      <c r="F116" s="54" t="s">
        <v>60</v>
      </c>
      <c r="G116" s="55" t="s">
        <v>100</v>
      </c>
      <c r="H116" s="1"/>
      <c r="I116" s="1" t="s">
        <v>52</v>
      </c>
      <c r="J116" s="1"/>
      <c r="K116" s="55" t="s">
        <v>96</v>
      </c>
      <c r="L116" s="54" t="s">
        <v>97</v>
      </c>
      <c r="M116" s="3"/>
      <c r="N116" s="4">
        <f t="shared" si="12"/>
        <v>0</v>
      </c>
      <c r="O116" s="4">
        <f t="shared" si="13"/>
        <v>0</v>
      </c>
      <c r="P116" s="4" t="str">
        <f>_xlfn.IFS(Q116&gt;=5,"V",Q116&lt;=-5,"D",Q116&lt;=-4.99,"E",Q116&lt;=4.99,"E")</f>
        <v>E</v>
      </c>
      <c r="Q116" s="4">
        <f t="shared" si="15"/>
        <v>0</v>
      </c>
    </row>
    <row r="117" spans="1:17" ht="17.25" customHeight="1" x14ac:dyDescent="0.25">
      <c r="A117" s="4">
        <f t="shared" si="9"/>
        <v>0</v>
      </c>
      <c r="B117" s="4" t="str">
        <f t="shared" si="16"/>
        <v>E</v>
      </c>
      <c r="C117" s="4">
        <f t="shared" si="10"/>
        <v>0</v>
      </c>
      <c r="D117" s="4">
        <f t="shared" si="11"/>
        <v>0</v>
      </c>
      <c r="E117" s="3"/>
      <c r="F117" s="54" t="s">
        <v>70</v>
      </c>
      <c r="G117" s="55" t="s">
        <v>69</v>
      </c>
      <c r="H117" s="1"/>
      <c r="I117" s="1" t="s">
        <v>52</v>
      </c>
      <c r="J117" s="1"/>
      <c r="K117" s="55" t="s">
        <v>88</v>
      </c>
      <c r="L117" s="54" t="s">
        <v>89</v>
      </c>
      <c r="M117" s="3"/>
      <c r="N117" s="4">
        <f t="shared" si="12"/>
        <v>0</v>
      </c>
      <c r="O117" s="4">
        <f t="shared" si="13"/>
        <v>0</v>
      </c>
      <c r="P117" s="4" t="str">
        <f t="shared" si="14"/>
        <v>E</v>
      </c>
      <c r="Q117" s="4">
        <f t="shared" si="15"/>
        <v>0</v>
      </c>
    </row>
    <row r="118" spans="1:17" ht="17.25" customHeight="1" x14ac:dyDescent="0.25">
      <c r="A118" s="4">
        <f t="shared" si="9"/>
        <v>0</v>
      </c>
      <c r="B118" s="4" t="str">
        <f t="shared" si="16"/>
        <v>E</v>
      </c>
      <c r="C118" s="4">
        <f t="shared" si="10"/>
        <v>0</v>
      </c>
      <c r="D118" s="4">
        <f t="shared" si="11"/>
        <v>0</v>
      </c>
      <c r="E118" s="3"/>
      <c r="F118" s="54" t="s">
        <v>63</v>
      </c>
      <c r="G118" s="55" t="s">
        <v>87</v>
      </c>
      <c r="H118" s="1"/>
      <c r="I118" s="1" t="s">
        <v>52</v>
      </c>
      <c r="J118" s="1"/>
      <c r="K118" s="55" t="s">
        <v>85</v>
      </c>
      <c r="L118" s="54" t="s">
        <v>62</v>
      </c>
      <c r="M118" s="3"/>
      <c r="N118" s="4">
        <f t="shared" si="12"/>
        <v>0</v>
      </c>
      <c r="O118" s="4">
        <f t="shared" si="13"/>
        <v>0</v>
      </c>
      <c r="P118" s="4" t="str">
        <f t="shared" si="14"/>
        <v>E</v>
      </c>
      <c r="Q118" s="4">
        <f t="shared" si="15"/>
        <v>0</v>
      </c>
    </row>
    <row r="119" spans="1:17" ht="17.25" customHeight="1" x14ac:dyDescent="0.25">
      <c r="A119" s="4">
        <f t="shared" si="9"/>
        <v>0</v>
      </c>
      <c r="B119" s="4" t="str">
        <f t="shared" si="16"/>
        <v>E</v>
      </c>
      <c r="C119" s="4">
        <f t="shared" si="10"/>
        <v>0</v>
      </c>
      <c r="D119" s="4">
        <f t="shared" si="11"/>
        <v>0</v>
      </c>
      <c r="E119" s="3"/>
      <c r="F119" s="54" t="s">
        <v>66</v>
      </c>
      <c r="G119" s="55" t="s">
        <v>67</v>
      </c>
      <c r="H119" s="1"/>
      <c r="I119" s="1" t="s">
        <v>52</v>
      </c>
      <c r="J119" s="1"/>
      <c r="K119" s="55" t="s">
        <v>79</v>
      </c>
      <c r="L119" s="54" t="s">
        <v>80</v>
      </c>
      <c r="M119" s="3"/>
      <c r="N119" s="4">
        <f t="shared" si="12"/>
        <v>0</v>
      </c>
      <c r="O119" s="4">
        <f t="shared" si="13"/>
        <v>0</v>
      </c>
      <c r="P119" s="4" t="str">
        <f t="shared" si="14"/>
        <v>E</v>
      </c>
      <c r="Q119" s="4">
        <f t="shared" si="15"/>
        <v>0</v>
      </c>
    </row>
    <row r="120" spans="1:17" ht="17.25" customHeight="1" x14ac:dyDescent="0.25">
      <c r="A120" s="4">
        <f t="shared" si="9"/>
        <v>0</v>
      </c>
      <c r="B120" s="4" t="str">
        <f t="shared" si="16"/>
        <v>E</v>
      </c>
      <c r="C120" s="4">
        <f t="shared" si="10"/>
        <v>0</v>
      </c>
      <c r="D120" s="4">
        <f t="shared" si="11"/>
        <v>0</v>
      </c>
      <c r="E120" s="3"/>
      <c r="F120" s="54" t="s">
        <v>61</v>
      </c>
      <c r="G120" s="55" t="s">
        <v>83</v>
      </c>
      <c r="H120" s="1"/>
      <c r="I120" s="1" t="s">
        <v>52</v>
      </c>
      <c r="J120" s="1"/>
      <c r="K120" s="55" t="s">
        <v>64</v>
      </c>
      <c r="L120" s="54" t="s">
        <v>84</v>
      </c>
      <c r="M120" s="3"/>
      <c r="N120" s="4">
        <f t="shared" si="12"/>
        <v>0</v>
      </c>
      <c r="O120" s="4">
        <f t="shared" si="13"/>
        <v>0</v>
      </c>
      <c r="P120" s="4" t="str">
        <f t="shared" si="14"/>
        <v>E</v>
      </c>
      <c r="Q120" s="4">
        <f t="shared" si="15"/>
        <v>0</v>
      </c>
    </row>
    <row r="121" spans="1:17" ht="17.25" customHeight="1" x14ac:dyDescent="0.25">
      <c r="E121" s="3"/>
      <c r="F121" s="54" t="s">
        <v>12</v>
      </c>
      <c r="G121" s="53"/>
      <c r="H121" s="53"/>
      <c r="I121" s="53"/>
      <c r="J121" s="53"/>
      <c r="K121" s="53"/>
      <c r="L121" s="53"/>
      <c r="M121" s="3"/>
    </row>
    <row r="122" spans="1:17" ht="17.25" customHeight="1" x14ac:dyDescent="0.25">
      <c r="E122" s="3"/>
      <c r="F122" s="1" t="s">
        <v>1</v>
      </c>
      <c r="G122" s="54" t="s">
        <v>2</v>
      </c>
      <c r="H122" s="1"/>
      <c r="I122" s="1"/>
      <c r="J122" s="1"/>
      <c r="K122" s="54" t="s">
        <v>2</v>
      </c>
      <c r="L122" s="1" t="s">
        <v>1</v>
      </c>
      <c r="M122" s="3"/>
    </row>
    <row r="123" spans="1:17" ht="17.25" customHeight="1" x14ac:dyDescent="0.25">
      <c r="A123" s="4">
        <f t="shared" si="9"/>
        <v>0</v>
      </c>
      <c r="B123" s="4" t="str">
        <f t="shared" si="16"/>
        <v>E</v>
      </c>
      <c r="C123" s="4">
        <f t="shared" si="10"/>
        <v>0</v>
      </c>
      <c r="D123" s="4">
        <f t="shared" si="11"/>
        <v>0</v>
      </c>
      <c r="E123" s="3"/>
      <c r="F123" s="54" t="s">
        <v>80</v>
      </c>
      <c r="G123" s="55" t="s">
        <v>79</v>
      </c>
      <c r="H123" s="1"/>
      <c r="I123" s="1" t="s">
        <v>52</v>
      </c>
      <c r="J123" s="1"/>
      <c r="K123" s="55" t="s">
        <v>83</v>
      </c>
      <c r="L123" s="54" t="s">
        <v>61</v>
      </c>
      <c r="M123" s="3"/>
      <c r="N123" s="4">
        <f t="shared" si="12"/>
        <v>0</v>
      </c>
      <c r="O123" s="4">
        <f t="shared" si="13"/>
        <v>0</v>
      </c>
      <c r="P123" s="4" t="str">
        <f t="shared" si="14"/>
        <v>E</v>
      </c>
      <c r="Q123" s="4">
        <f t="shared" si="15"/>
        <v>0</v>
      </c>
    </row>
    <row r="124" spans="1:17" ht="17.25" customHeight="1" x14ac:dyDescent="0.25">
      <c r="A124" s="4">
        <f t="shared" si="9"/>
        <v>0</v>
      </c>
      <c r="B124" s="4" t="str">
        <f t="shared" si="16"/>
        <v>E</v>
      </c>
      <c r="C124" s="4">
        <f t="shared" si="10"/>
        <v>0</v>
      </c>
      <c r="D124" s="4">
        <f t="shared" si="11"/>
        <v>0</v>
      </c>
      <c r="E124" s="3"/>
      <c r="F124" s="54" t="s">
        <v>78</v>
      </c>
      <c r="G124" s="55" t="s">
        <v>77</v>
      </c>
      <c r="H124" s="1"/>
      <c r="I124" s="1" t="s">
        <v>52</v>
      </c>
      <c r="J124" s="1"/>
      <c r="K124" s="55" t="s">
        <v>99</v>
      </c>
      <c r="L124" s="54" t="s">
        <v>98</v>
      </c>
      <c r="M124" s="3"/>
      <c r="N124" s="4">
        <f t="shared" si="12"/>
        <v>0</v>
      </c>
      <c r="O124" s="4">
        <f t="shared" si="13"/>
        <v>0</v>
      </c>
      <c r="P124" s="4" t="str">
        <f t="shared" si="14"/>
        <v>E</v>
      </c>
      <c r="Q124" s="4">
        <f t="shared" si="15"/>
        <v>0</v>
      </c>
    </row>
    <row r="125" spans="1:17" ht="17.25" customHeight="1" x14ac:dyDescent="0.25">
      <c r="A125" s="4">
        <f t="shared" si="9"/>
        <v>0</v>
      </c>
      <c r="B125" s="4" t="str">
        <f t="shared" si="16"/>
        <v>E</v>
      </c>
      <c r="C125" s="4">
        <f t="shared" si="10"/>
        <v>0</v>
      </c>
      <c r="D125" s="4">
        <f t="shared" si="11"/>
        <v>0</v>
      </c>
      <c r="E125" s="3"/>
      <c r="F125" s="54" t="s">
        <v>93</v>
      </c>
      <c r="G125" s="55" t="s">
        <v>92</v>
      </c>
      <c r="H125" s="1"/>
      <c r="I125" s="1" t="s">
        <v>52</v>
      </c>
      <c r="J125" s="1"/>
      <c r="K125" s="55" t="s">
        <v>87</v>
      </c>
      <c r="L125" s="54" t="s">
        <v>63</v>
      </c>
      <c r="M125" s="3"/>
      <c r="N125" s="4">
        <f t="shared" si="12"/>
        <v>0</v>
      </c>
      <c r="O125" s="4">
        <f t="shared" si="13"/>
        <v>0</v>
      </c>
      <c r="P125" s="4" t="str">
        <f t="shared" si="14"/>
        <v>E</v>
      </c>
      <c r="Q125" s="4">
        <f t="shared" si="15"/>
        <v>0</v>
      </c>
    </row>
    <row r="126" spans="1:17" ht="17.25" customHeight="1" x14ac:dyDescent="0.25">
      <c r="A126" s="4">
        <f t="shared" si="9"/>
        <v>0</v>
      </c>
      <c r="B126" s="4" t="str">
        <f t="shared" si="16"/>
        <v>E</v>
      </c>
      <c r="C126" s="4">
        <f t="shared" si="10"/>
        <v>0</v>
      </c>
      <c r="D126" s="4">
        <f t="shared" si="11"/>
        <v>0</v>
      </c>
      <c r="E126" s="3"/>
      <c r="F126" s="54" t="s">
        <v>65</v>
      </c>
      <c r="G126" s="55" t="s">
        <v>74</v>
      </c>
      <c r="H126" s="1"/>
      <c r="I126" s="1" t="s">
        <v>52</v>
      </c>
      <c r="J126" s="1"/>
      <c r="K126" s="55" t="s">
        <v>67</v>
      </c>
      <c r="L126" s="54" t="s">
        <v>66</v>
      </c>
      <c r="M126" s="3"/>
      <c r="N126" s="4">
        <f t="shared" si="12"/>
        <v>0</v>
      </c>
      <c r="O126" s="4">
        <f t="shared" si="13"/>
        <v>0</v>
      </c>
      <c r="P126" s="4" t="str">
        <f t="shared" si="14"/>
        <v>E</v>
      </c>
      <c r="Q126" s="4">
        <f t="shared" si="15"/>
        <v>0</v>
      </c>
    </row>
    <row r="127" spans="1:17" ht="17.25" customHeight="1" x14ac:dyDescent="0.25">
      <c r="A127" s="4">
        <f t="shared" si="9"/>
        <v>0</v>
      </c>
      <c r="B127" s="4" t="str">
        <f t="shared" si="16"/>
        <v>E</v>
      </c>
      <c r="C127" s="4">
        <f t="shared" si="10"/>
        <v>0</v>
      </c>
      <c r="D127" s="4">
        <f t="shared" si="11"/>
        <v>0</v>
      </c>
      <c r="E127" s="3"/>
      <c r="F127" s="54" t="s">
        <v>76</v>
      </c>
      <c r="G127" s="55" t="s">
        <v>75</v>
      </c>
      <c r="H127" s="1"/>
      <c r="I127" s="1" t="s">
        <v>52</v>
      </c>
      <c r="J127" s="1"/>
      <c r="K127" s="55" t="s">
        <v>69</v>
      </c>
      <c r="L127" s="54" t="s">
        <v>70</v>
      </c>
      <c r="M127" s="3"/>
      <c r="N127" s="4">
        <f t="shared" si="12"/>
        <v>0</v>
      </c>
      <c r="O127" s="4">
        <f t="shared" si="13"/>
        <v>0</v>
      </c>
      <c r="P127" s="4" t="str">
        <f t="shared" si="14"/>
        <v>E</v>
      </c>
      <c r="Q127" s="4">
        <f t="shared" si="15"/>
        <v>0</v>
      </c>
    </row>
    <row r="128" spans="1:17" ht="17.25" customHeight="1" x14ac:dyDescent="0.25">
      <c r="A128" s="4">
        <f t="shared" si="9"/>
        <v>0</v>
      </c>
      <c r="B128" s="4" t="str">
        <f t="shared" si="16"/>
        <v>E</v>
      </c>
      <c r="C128" s="4">
        <f t="shared" si="10"/>
        <v>0</v>
      </c>
      <c r="D128" s="4">
        <f t="shared" si="11"/>
        <v>0</v>
      </c>
      <c r="E128" s="3"/>
      <c r="F128" s="54" t="s">
        <v>60</v>
      </c>
      <c r="G128" s="55" t="s">
        <v>100</v>
      </c>
      <c r="H128" s="1"/>
      <c r="I128" s="1" t="s">
        <v>52</v>
      </c>
      <c r="J128" s="1"/>
      <c r="K128" s="55" t="s">
        <v>73</v>
      </c>
      <c r="L128" s="54" t="s">
        <v>72</v>
      </c>
      <c r="M128" s="3"/>
      <c r="N128" s="4">
        <f t="shared" si="12"/>
        <v>0</v>
      </c>
      <c r="O128" s="4">
        <f t="shared" si="13"/>
        <v>0</v>
      </c>
      <c r="P128" s="4" t="str">
        <f t="shared" si="14"/>
        <v>E</v>
      </c>
      <c r="Q128" s="4">
        <f t="shared" si="15"/>
        <v>0</v>
      </c>
    </row>
    <row r="129" spans="1:17" ht="17.25" customHeight="1" x14ac:dyDescent="0.25">
      <c r="A129" s="4">
        <f t="shared" si="9"/>
        <v>0</v>
      </c>
      <c r="B129" s="4" t="str">
        <f>_xlfn.IFS(A129&gt;=5,"V",A129&lt;=-5,"D",A129&lt;=-4.99,"E",A129&lt;=4.99,"E")</f>
        <v>E</v>
      </c>
      <c r="C129" s="4">
        <f t="shared" si="10"/>
        <v>0</v>
      </c>
      <c r="D129" s="4">
        <f t="shared" si="11"/>
        <v>0</v>
      </c>
      <c r="E129" s="3"/>
      <c r="F129" s="54" t="s">
        <v>68</v>
      </c>
      <c r="G129" s="55" t="s">
        <v>71</v>
      </c>
      <c r="H129" s="1"/>
      <c r="I129" s="1" t="s">
        <v>52</v>
      </c>
      <c r="J129" s="1"/>
      <c r="K129" s="55" t="s">
        <v>90</v>
      </c>
      <c r="L129" s="54" t="s">
        <v>91</v>
      </c>
      <c r="M129" s="3"/>
      <c r="N129" s="4">
        <f t="shared" si="12"/>
        <v>0</v>
      </c>
      <c r="O129" s="4">
        <f t="shared" si="13"/>
        <v>0</v>
      </c>
      <c r="P129" s="4" t="str">
        <f t="shared" si="14"/>
        <v>E</v>
      </c>
      <c r="Q129" s="4">
        <f t="shared" si="15"/>
        <v>0</v>
      </c>
    </row>
    <row r="130" spans="1:17" ht="17.25" customHeight="1" x14ac:dyDescent="0.25">
      <c r="A130" s="4">
        <f t="shared" si="9"/>
        <v>0</v>
      </c>
      <c r="B130" s="4" t="str">
        <f t="shared" si="16"/>
        <v>E</v>
      </c>
      <c r="C130" s="4">
        <f t="shared" si="10"/>
        <v>0</v>
      </c>
      <c r="D130" s="4">
        <f t="shared" si="11"/>
        <v>0</v>
      </c>
      <c r="E130" s="3"/>
      <c r="F130" s="54" t="s">
        <v>62</v>
      </c>
      <c r="G130" s="55" t="s">
        <v>85</v>
      </c>
      <c r="H130" s="1"/>
      <c r="I130" s="1" t="s">
        <v>52</v>
      </c>
      <c r="J130" s="1"/>
      <c r="K130" s="55" t="s">
        <v>94</v>
      </c>
      <c r="L130" s="54" t="s">
        <v>95</v>
      </c>
      <c r="M130" s="3"/>
      <c r="N130" s="4">
        <f t="shared" si="12"/>
        <v>0</v>
      </c>
      <c r="O130" s="4">
        <f t="shared" si="13"/>
        <v>0</v>
      </c>
      <c r="P130" s="4" t="str">
        <f t="shared" si="14"/>
        <v>E</v>
      </c>
      <c r="Q130" s="4">
        <f t="shared" si="15"/>
        <v>0</v>
      </c>
    </row>
    <row r="131" spans="1:17" ht="17.25" customHeight="1" x14ac:dyDescent="0.25">
      <c r="A131" s="4">
        <f t="shared" si="9"/>
        <v>0</v>
      </c>
      <c r="B131" s="4" t="str">
        <f t="shared" si="16"/>
        <v>E</v>
      </c>
      <c r="C131" s="4">
        <f t="shared" si="10"/>
        <v>0</v>
      </c>
      <c r="D131" s="4">
        <f t="shared" si="11"/>
        <v>0</v>
      </c>
      <c r="E131" s="3"/>
      <c r="F131" s="54" t="s">
        <v>97</v>
      </c>
      <c r="G131" s="55" t="s">
        <v>96</v>
      </c>
      <c r="H131" s="1"/>
      <c r="I131" s="1" t="s">
        <v>52</v>
      </c>
      <c r="J131" s="1"/>
      <c r="K131" s="55" t="s">
        <v>64</v>
      </c>
      <c r="L131" s="54" t="s">
        <v>84</v>
      </c>
      <c r="M131" s="3"/>
      <c r="N131" s="4">
        <f t="shared" si="12"/>
        <v>0</v>
      </c>
      <c r="O131" s="4">
        <f t="shared" si="13"/>
        <v>0</v>
      </c>
      <c r="P131" s="4" t="str">
        <f t="shared" si="14"/>
        <v>E</v>
      </c>
      <c r="Q131" s="4">
        <f t="shared" si="15"/>
        <v>0</v>
      </c>
    </row>
    <row r="132" spans="1:17" ht="17.25" customHeight="1" x14ac:dyDescent="0.25">
      <c r="A132" s="4">
        <f t="shared" ref="A132:A195" si="17">C132-D132</f>
        <v>0</v>
      </c>
      <c r="B132" s="4" t="str">
        <f t="shared" si="16"/>
        <v>E</v>
      </c>
      <c r="C132" s="4">
        <f t="shared" ref="C132:C195" si="18">H132</f>
        <v>0</v>
      </c>
      <c r="D132" s="4">
        <f t="shared" ref="D132:D195" si="19">J132</f>
        <v>0</v>
      </c>
      <c r="E132" s="3"/>
      <c r="F132" s="54" t="s">
        <v>89</v>
      </c>
      <c r="G132" s="55" t="s">
        <v>88</v>
      </c>
      <c r="H132" s="1"/>
      <c r="I132" s="1" t="s">
        <v>52</v>
      </c>
      <c r="J132" s="1"/>
      <c r="K132" s="55" t="s">
        <v>81</v>
      </c>
      <c r="L132" s="54" t="s">
        <v>82</v>
      </c>
      <c r="M132" s="3"/>
      <c r="N132" s="4">
        <f t="shared" ref="N132:N195" si="20">H132</f>
        <v>0</v>
      </c>
      <c r="O132" s="4">
        <f t="shared" ref="O132:O195" si="21">J132</f>
        <v>0</v>
      </c>
      <c r="P132" s="4" t="str">
        <f>_xlfn.IFS(Q132&gt;=5,"V",Q132&lt;=-5,"D",Q132&lt;=-4.99,"E",Q132&lt;=4.99,"E")</f>
        <v>E</v>
      </c>
      <c r="Q132" s="4">
        <f t="shared" ref="Q132:Q195" si="22">J132-H132</f>
        <v>0</v>
      </c>
    </row>
    <row r="133" spans="1:17" ht="17.25" customHeight="1" x14ac:dyDescent="0.25">
      <c r="E133" s="3"/>
      <c r="F133" s="54" t="s">
        <v>13</v>
      </c>
      <c r="G133" s="53"/>
      <c r="H133" s="53"/>
      <c r="I133" s="53"/>
      <c r="J133" s="53"/>
      <c r="K133" s="53"/>
      <c r="L133" s="53"/>
      <c r="M133" s="3"/>
    </row>
    <row r="134" spans="1:17" ht="17.25" customHeight="1" x14ac:dyDescent="0.25">
      <c r="E134" s="3"/>
      <c r="F134" s="1" t="s">
        <v>1</v>
      </c>
      <c r="G134" s="54" t="s">
        <v>2</v>
      </c>
      <c r="H134" s="1"/>
      <c r="I134" s="1"/>
      <c r="J134" s="1"/>
      <c r="K134" s="54" t="s">
        <v>2</v>
      </c>
      <c r="L134" s="1" t="s">
        <v>1</v>
      </c>
      <c r="M134" s="3"/>
    </row>
    <row r="135" spans="1:17" ht="17.25" customHeight="1" x14ac:dyDescent="0.25">
      <c r="A135" s="4">
        <f t="shared" si="17"/>
        <v>0</v>
      </c>
      <c r="B135" s="4" t="str">
        <f t="shared" si="16"/>
        <v>E</v>
      </c>
      <c r="C135" s="4">
        <f t="shared" si="18"/>
        <v>0</v>
      </c>
      <c r="D135" s="4">
        <f t="shared" si="19"/>
        <v>0</v>
      </c>
      <c r="E135" s="3"/>
      <c r="F135" s="54" t="s">
        <v>91</v>
      </c>
      <c r="G135" s="55" t="s">
        <v>90</v>
      </c>
      <c r="H135" s="1"/>
      <c r="I135" s="1" t="s">
        <v>52</v>
      </c>
      <c r="J135" s="1"/>
      <c r="K135" s="55" t="s">
        <v>85</v>
      </c>
      <c r="L135" s="54" t="s">
        <v>62</v>
      </c>
      <c r="M135" s="3"/>
      <c r="N135" s="4">
        <f t="shared" si="20"/>
        <v>0</v>
      </c>
      <c r="O135" s="4">
        <f t="shared" si="21"/>
        <v>0</v>
      </c>
      <c r="P135" s="4" t="str">
        <f t="shared" ref="P135:P198" si="23">_xlfn.IFS(Q135&gt;=5,"V",Q135&lt;=-5,"D",Q135&lt;=-4.99,"E",Q135&lt;=4.99,"E")</f>
        <v>E</v>
      </c>
      <c r="Q135" s="4">
        <f t="shared" si="22"/>
        <v>0</v>
      </c>
    </row>
    <row r="136" spans="1:17" ht="17.25" customHeight="1" x14ac:dyDescent="0.25">
      <c r="A136" s="4">
        <f t="shared" si="17"/>
        <v>0</v>
      </c>
      <c r="B136" s="4" t="str">
        <f t="shared" si="16"/>
        <v>E</v>
      </c>
      <c r="C136" s="4">
        <f t="shared" si="18"/>
        <v>0</v>
      </c>
      <c r="D136" s="4">
        <f t="shared" si="19"/>
        <v>0</v>
      </c>
      <c r="E136" s="3"/>
      <c r="F136" s="54" t="s">
        <v>95</v>
      </c>
      <c r="G136" s="55" t="s">
        <v>94</v>
      </c>
      <c r="H136" s="1"/>
      <c r="I136" s="1" t="s">
        <v>52</v>
      </c>
      <c r="J136" s="1"/>
      <c r="K136" s="55" t="s">
        <v>74</v>
      </c>
      <c r="L136" s="54" t="s">
        <v>65</v>
      </c>
      <c r="M136" s="3"/>
      <c r="N136" s="4">
        <f t="shared" si="20"/>
        <v>0</v>
      </c>
      <c r="O136" s="4">
        <f t="shared" si="21"/>
        <v>0</v>
      </c>
      <c r="P136" s="4" t="str">
        <f t="shared" si="23"/>
        <v>E</v>
      </c>
      <c r="Q136" s="4">
        <f t="shared" si="22"/>
        <v>0</v>
      </c>
    </row>
    <row r="137" spans="1:17" ht="17.25" customHeight="1" x14ac:dyDescent="0.25">
      <c r="A137" s="4">
        <f t="shared" si="17"/>
        <v>0</v>
      </c>
      <c r="B137" s="4" t="str">
        <f t="shared" si="16"/>
        <v>E</v>
      </c>
      <c r="C137" s="4">
        <f t="shared" si="18"/>
        <v>0</v>
      </c>
      <c r="D137" s="4">
        <f t="shared" si="19"/>
        <v>0</v>
      </c>
      <c r="E137" s="3"/>
      <c r="F137" s="54" t="s">
        <v>72</v>
      </c>
      <c r="G137" s="55" t="s">
        <v>73</v>
      </c>
      <c r="H137" s="1"/>
      <c r="I137" s="1" t="s">
        <v>52</v>
      </c>
      <c r="J137" s="1"/>
      <c r="K137" s="55" t="s">
        <v>79</v>
      </c>
      <c r="L137" s="54" t="s">
        <v>80</v>
      </c>
      <c r="M137" s="3"/>
      <c r="N137" s="4">
        <f t="shared" si="20"/>
        <v>0</v>
      </c>
      <c r="O137" s="4">
        <f t="shared" si="21"/>
        <v>0</v>
      </c>
      <c r="P137" s="4" t="str">
        <f t="shared" si="23"/>
        <v>E</v>
      </c>
      <c r="Q137" s="4">
        <f t="shared" si="22"/>
        <v>0</v>
      </c>
    </row>
    <row r="138" spans="1:17" ht="17.25" customHeight="1" x14ac:dyDescent="0.25">
      <c r="A138" s="4">
        <f t="shared" si="17"/>
        <v>0</v>
      </c>
      <c r="B138" s="4" t="str">
        <f t="shared" si="16"/>
        <v>E</v>
      </c>
      <c r="C138" s="4">
        <f t="shared" si="18"/>
        <v>0</v>
      </c>
      <c r="D138" s="4">
        <f t="shared" si="19"/>
        <v>0</v>
      </c>
      <c r="E138" s="3"/>
      <c r="F138" s="54" t="s">
        <v>98</v>
      </c>
      <c r="G138" s="55" t="s">
        <v>99</v>
      </c>
      <c r="H138" s="1"/>
      <c r="I138" s="1" t="s">
        <v>52</v>
      </c>
      <c r="J138" s="1"/>
      <c r="K138" s="55" t="s">
        <v>96</v>
      </c>
      <c r="L138" s="54" t="s">
        <v>97</v>
      </c>
      <c r="M138" s="3"/>
      <c r="N138" s="4">
        <f t="shared" si="20"/>
        <v>0</v>
      </c>
      <c r="O138" s="4">
        <f t="shared" si="21"/>
        <v>0</v>
      </c>
      <c r="P138" s="4" t="str">
        <f t="shared" si="23"/>
        <v>E</v>
      </c>
      <c r="Q138" s="4">
        <f t="shared" si="22"/>
        <v>0</v>
      </c>
    </row>
    <row r="139" spans="1:17" ht="17.25" customHeight="1" x14ac:dyDescent="0.25">
      <c r="A139" s="4">
        <f t="shared" si="17"/>
        <v>0</v>
      </c>
      <c r="B139" s="4" t="str">
        <f t="shared" si="16"/>
        <v>E</v>
      </c>
      <c r="C139" s="4">
        <f t="shared" si="18"/>
        <v>0</v>
      </c>
      <c r="D139" s="4">
        <f t="shared" si="19"/>
        <v>0</v>
      </c>
      <c r="E139" s="3"/>
      <c r="F139" s="54" t="s">
        <v>82</v>
      </c>
      <c r="G139" s="55" t="s">
        <v>81</v>
      </c>
      <c r="H139" s="1"/>
      <c r="I139" s="1" t="s">
        <v>52</v>
      </c>
      <c r="J139" s="1"/>
      <c r="K139" s="55" t="s">
        <v>100</v>
      </c>
      <c r="L139" s="54" t="s">
        <v>60</v>
      </c>
      <c r="M139" s="3"/>
      <c r="N139" s="4">
        <f t="shared" si="20"/>
        <v>0</v>
      </c>
      <c r="O139" s="4">
        <f t="shared" si="21"/>
        <v>0</v>
      </c>
      <c r="P139" s="4" t="str">
        <f t="shared" si="23"/>
        <v>E</v>
      </c>
      <c r="Q139" s="4">
        <f t="shared" si="22"/>
        <v>0</v>
      </c>
    </row>
    <row r="140" spans="1:17" ht="17.25" customHeight="1" x14ac:dyDescent="0.25">
      <c r="A140" s="4">
        <f t="shared" si="17"/>
        <v>0</v>
      </c>
      <c r="B140" s="4" t="str">
        <f t="shared" si="16"/>
        <v>E</v>
      </c>
      <c r="C140" s="4">
        <f t="shared" si="18"/>
        <v>0</v>
      </c>
      <c r="D140" s="4">
        <f t="shared" si="19"/>
        <v>0</v>
      </c>
      <c r="E140" s="3"/>
      <c r="F140" s="54" t="s">
        <v>84</v>
      </c>
      <c r="G140" s="55" t="s">
        <v>64</v>
      </c>
      <c r="H140" s="1"/>
      <c r="I140" s="1" t="s">
        <v>52</v>
      </c>
      <c r="J140" s="1"/>
      <c r="K140" s="55" t="s">
        <v>92</v>
      </c>
      <c r="L140" s="54" t="s">
        <v>93</v>
      </c>
      <c r="M140" s="3"/>
      <c r="N140" s="4">
        <f t="shared" si="20"/>
        <v>0</v>
      </c>
      <c r="O140" s="4">
        <f t="shared" si="21"/>
        <v>0</v>
      </c>
      <c r="P140" s="4" t="str">
        <f t="shared" si="23"/>
        <v>E</v>
      </c>
      <c r="Q140" s="4">
        <f t="shared" si="22"/>
        <v>0</v>
      </c>
    </row>
    <row r="141" spans="1:17" ht="17.25" customHeight="1" x14ac:dyDescent="0.25">
      <c r="A141" s="4">
        <f t="shared" si="17"/>
        <v>0</v>
      </c>
      <c r="B141" s="4" t="str">
        <f t="shared" si="16"/>
        <v>E</v>
      </c>
      <c r="C141" s="4">
        <f t="shared" si="18"/>
        <v>0</v>
      </c>
      <c r="D141" s="4">
        <f t="shared" si="19"/>
        <v>0</v>
      </c>
      <c r="E141" s="3"/>
      <c r="F141" s="54" t="s">
        <v>68</v>
      </c>
      <c r="G141" s="55" t="s">
        <v>71</v>
      </c>
      <c r="H141" s="1"/>
      <c r="I141" s="1" t="s">
        <v>52</v>
      </c>
      <c r="J141" s="1"/>
      <c r="K141" s="55" t="s">
        <v>75</v>
      </c>
      <c r="L141" s="54" t="s">
        <v>76</v>
      </c>
      <c r="M141" s="3"/>
      <c r="N141" s="4">
        <f t="shared" si="20"/>
        <v>0</v>
      </c>
      <c r="O141" s="4">
        <f t="shared" si="21"/>
        <v>0</v>
      </c>
      <c r="P141" s="4" t="str">
        <f t="shared" si="23"/>
        <v>E</v>
      </c>
      <c r="Q141" s="4">
        <f t="shared" si="22"/>
        <v>0</v>
      </c>
    </row>
    <row r="142" spans="1:17" ht="17.25" customHeight="1" x14ac:dyDescent="0.25">
      <c r="A142" s="4">
        <f t="shared" si="17"/>
        <v>0</v>
      </c>
      <c r="B142" s="4" t="str">
        <f t="shared" si="16"/>
        <v>E</v>
      </c>
      <c r="C142" s="4">
        <f t="shared" si="18"/>
        <v>0</v>
      </c>
      <c r="D142" s="4">
        <f t="shared" si="19"/>
        <v>0</v>
      </c>
      <c r="E142" s="3"/>
      <c r="F142" s="54" t="s">
        <v>63</v>
      </c>
      <c r="G142" s="55" t="s">
        <v>87</v>
      </c>
      <c r="H142" s="1"/>
      <c r="I142" s="1" t="s">
        <v>52</v>
      </c>
      <c r="J142" s="1"/>
      <c r="K142" s="55" t="s">
        <v>69</v>
      </c>
      <c r="L142" s="54" t="s">
        <v>70</v>
      </c>
      <c r="M142" s="3"/>
      <c r="N142" s="4">
        <f t="shared" si="20"/>
        <v>0</v>
      </c>
      <c r="O142" s="4">
        <f t="shared" si="21"/>
        <v>0</v>
      </c>
      <c r="P142" s="4" t="str">
        <f t="shared" si="23"/>
        <v>E</v>
      </c>
      <c r="Q142" s="4">
        <f t="shared" si="22"/>
        <v>0</v>
      </c>
    </row>
    <row r="143" spans="1:17" ht="17.25" customHeight="1" x14ac:dyDescent="0.25">
      <c r="A143" s="4">
        <f t="shared" si="17"/>
        <v>0</v>
      </c>
      <c r="B143" s="4" t="str">
        <f t="shared" ref="B143:B204" si="24">_xlfn.IFS(A143&gt;=5,"V",A143&lt;=-5,"D",A143&lt;=-4.99,"E",A143&lt;=4.99,"E")</f>
        <v>E</v>
      </c>
      <c r="C143" s="4">
        <f t="shared" si="18"/>
        <v>0</v>
      </c>
      <c r="D143" s="4">
        <f t="shared" si="19"/>
        <v>0</v>
      </c>
      <c r="E143" s="3"/>
      <c r="F143" s="54" t="s">
        <v>66</v>
      </c>
      <c r="G143" s="55" t="s">
        <v>67</v>
      </c>
      <c r="H143" s="1"/>
      <c r="I143" s="1" t="s">
        <v>52</v>
      </c>
      <c r="J143" s="1"/>
      <c r="K143" s="55" t="s">
        <v>83</v>
      </c>
      <c r="L143" s="54" t="s">
        <v>61</v>
      </c>
      <c r="M143" s="3"/>
      <c r="N143" s="4">
        <f t="shared" si="20"/>
        <v>0</v>
      </c>
      <c r="O143" s="4">
        <f t="shared" si="21"/>
        <v>0</v>
      </c>
      <c r="P143" s="4" t="str">
        <f t="shared" si="23"/>
        <v>E</v>
      </c>
      <c r="Q143" s="4">
        <f t="shared" si="22"/>
        <v>0</v>
      </c>
    </row>
    <row r="144" spans="1:17" ht="17.25" customHeight="1" x14ac:dyDescent="0.25">
      <c r="A144" s="4">
        <f t="shared" si="17"/>
        <v>0</v>
      </c>
      <c r="B144" s="4" t="str">
        <f t="shared" si="24"/>
        <v>E</v>
      </c>
      <c r="C144" s="4">
        <f t="shared" si="18"/>
        <v>0</v>
      </c>
      <c r="D144" s="4">
        <f t="shared" si="19"/>
        <v>0</v>
      </c>
      <c r="E144" s="3"/>
      <c r="F144" s="54" t="s">
        <v>89</v>
      </c>
      <c r="G144" s="55" t="s">
        <v>88</v>
      </c>
      <c r="H144" s="1"/>
      <c r="I144" s="1" t="s">
        <v>52</v>
      </c>
      <c r="J144" s="1"/>
      <c r="K144" s="55" t="s">
        <v>77</v>
      </c>
      <c r="L144" s="54" t="s">
        <v>78</v>
      </c>
      <c r="M144" s="3"/>
      <c r="N144" s="4">
        <f t="shared" si="20"/>
        <v>0</v>
      </c>
      <c r="O144" s="4">
        <f t="shared" si="21"/>
        <v>0</v>
      </c>
      <c r="P144" s="4" t="str">
        <f t="shared" si="23"/>
        <v>E</v>
      </c>
      <c r="Q144" s="4">
        <f t="shared" si="22"/>
        <v>0</v>
      </c>
    </row>
    <row r="145" spans="1:17" ht="17.25" customHeight="1" x14ac:dyDescent="0.25">
      <c r="E145" s="3"/>
      <c r="F145" s="54" t="s">
        <v>14</v>
      </c>
      <c r="G145" s="53"/>
      <c r="H145" s="53"/>
      <c r="I145" s="53"/>
      <c r="J145" s="53"/>
      <c r="K145" s="53"/>
      <c r="L145" s="53"/>
      <c r="M145" s="3"/>
    </row>
    <row r="146" spans="1:17" ht="17.25" customHeight="1" x14ac:dyDescent="0.25">
      <c r="E146" s="3"/>
      <c r="F146" s="1" t="s">
        <v>1</v>
      </c>
      <c r="G146" s="54" t="s">
        <v>2</v>
      </c>
      <c r="H146" s="1"/>
      <c r="I146" s="1"/>
      <c r="J146" s="1"/>
      <c r="K146" s="54" t="s">
        <v>2</v>
      </c>
      <c r="L146" s="1" t="s">
        <v>1</v>
      </c>
      <c r="M146" s="3"/>
    </row>
    <row r="147" spans="1:17" ht="17.25" customHeight="1" x14ac:dyDescent="0.25">
      <c r="A147" s="4">
        <f t="shared" si="17"/>
        <v>0</v>
      </c>
      <c r="B147" s="4" t="str">
        <f t="shared" si="24"/>
        <v>E</v>
      </c>
      <c r="C147" s="4">
        <f t="shared" si="18"/>
        <v>0</v>
      </c>
      <c r="D147" s="4">
        <f t="shared" si="19"/>
        <v>0</v>
      </c>
      <c r="E147" s="3"/>
      <c r="F147" s="54" t="s">
        <v>80</v>
      </c>
      <c r="G147" s="55" t="s">
        <v>79</v>
      </c>
      <c r="H147" s="1"/>
      <c r="I147" s="1" t="s">
        <v>52</v>
      </c>
      <c r="J147" s="1"/>
      <c r="K147" s="55" t="s">
        <v>87</v>
      </c>
      <c r="L147" s="54" t="s">
        <v>63</v>
      </c>
      <c r="M147" s="3"/>
      <c r="N147" s="4">
        <f t="shared" si="20"/>
        <v>0</v>
      </c>
      <c r="O147" s="4">
        <f t="shared" si="21"/>
        <v>0</v>
      </c>
      <c r="P147" s="4" t="str">
        <f t="shared" si="23"/>
        <v>E</v>
      </c>
      <c r="Q147" s="4">
        <f t="shared" si="22"/>
        <v>0</v>
      </c>
    </row>
    <row r="148" spans="1:17" ht="17.25" customHeight="1" x14ac:dyDescent="0.25">
      <c r="A148" s="4">
        <f t="shared" si="17"/>
        <v>0</v>
      </c>
      <c r="B148" s="4" t="str">
        <f t="shared" si="24"/>
        <v>E</v>
      </c>
      <c r="C148" s="4">
        <f t="shared" si="18"/>
        <v>0</v>
      </c>
      <c r="D148" s="4">
        <f t="shared" si="19"/>
        <v>0</v>
      </c>
      <c r="E148" s="3"/>
      <c r="F148" s="54" t="s">
        <v>78</v>
      </c>
      <c r="G148" s="55" t="s">
        <v>77</v>
      </c>
      <c r="H148" s="1"/>
      <c r="I148" s="1" t="s">
        <v>52</v>
      </c>
      <c r="J148" s="1"/>
      <c r="K148" s="55" t="s">
        <v>90</v>
      </c>
      <c r="L148" s="54" t="s">
        <v>91</v>
      </c>
      <c r="M148" s="3"/>
      <c r="N148" s="4">
        <f t="shared" si="20"/>
        <v>0</v>
      </c>
      <c r="O148" s="4">
        <f t="shared" si="21"/>
        <v>0</v>
      </c>
      <c r="P148" s="4" t="str">
        <f t="shared" si="23"/>
        <v>E</v>
      </c>
      <c r="Q148" s="4">
        <f t="shared" si="22"/>
        <v>0</v>
      </c>
    </row>
    <row r="149" spans="1:17" ht="17.25" customHeight="1" x14ac:dyDescent="0.25">
      <c r="A149" s="4">
        <f t="shared" si="17"/>
        <v>0</v>
      </c>
      <c r="B149" s="4" t="str">
        <f t="shared" si="24"/>
        <v>E</v>
      </c>
      <c r="C149" s="4">
        <f t="shared" si="18"/>
        <v>0</v>
      </c>
      <c r="D149" s="4">
        <f t="shared" si="19"/>
        <v>0</v>
      </c>
      <c r="E149" s="3"/>
      <c r="F149" s="54" t="s">
        <v>72</v>
      </c>
      <c r="G149" s="55" t="s">
        <v>73</v>
      </c>
      <c r="H149" s="1"/>
      <c r="I149" s="1" t="s">
        <v>52</v>
      </c>
      <c r="J149" s="1"/>
      <c r="K149" s="55" t="s">
        <v>67</v>
      </c>
      <c r="L149" s="54" t="s">
        <v>66</v>
      </c>
      <c r="M149" s="3"/>
      <c r="N149" s="4">
        <f t="shared" si="20"/>
        <v>0</v>
      </c>
      <c r="O149" s="4">
        <f t="shared" si="21"/>
        <v>0</v>
      </c>
      <c r="P149" s="4" t="str">
        <f t="shared" si="23"/>
        <v>E</v>
      </c>
      <c r="Q149" s="4">
        <f t="shared" si="22"/>
        <v>0</v>
      </c>
    </row>
    <row r="150" spans="1:17" ht="17.25" customHeight="1" x14ac:dyDescent="0.25">
      <c r="A150" s="4">
        <f t="shared" si="17"/>
        <v>0</v>
      </c>
      <c r="B150" s="4" t="str">
        <f t="shared" si="24"/>
        <v>E</v>
      </c>
      <c r="C150" s="4">
        <f t="shared" si="18"/>
        <v>0</v>
      </c>
      <c r="D150" s="4">
        <f t="shared" si="19"/>
        <v>0</v>
      </c>
      <c r="E150" s="3"/>
      <c r="F150" s="54" t="s">
        <v>65</v>
      </c>
      <c r="G150" s="55" t="s">
        <v>74</v>
      </c>
      <c r="H150" s="1"/>
      <c r="I150" s="1" t="s">
        <v>52</v>
      </c>
      <c r="J150" s="1"/>
      <c r="K150" s="55" t="s">
        <v>75</v>
      </c>
      <c r="L150" s="54" t="s">
        <v>76</v>
      </c>
      <c r="M150" s="3"/>
      <c r="N150" s="4">
        <f t="shared" si="20"/>
        <v>0</v>
      </c>
      <c r="O150" s="4">
        <f t="shared" si="21"/>
        <v>0</v>
      </c>
      <c r="P150" s="4" t="str">
        <f t="shared" si="23"/>
        <v>E</v>
      </c>
      <c r="Q150" s="4">
        <f t="shared" si="22"/>
        <v>0</v>
      </c>
    </row>
    <row r="151" spans="1:17" ht="17.25" customHeight="1" x14ac:dyDescent="0.25">
      <c r="A151" s="4">
        <f t="shared" si="17"/>
        <v>0</v>
      </c>
      <c r="B151" s="4" t="str">
        <f t="shared" si="24"/>
        <v>E</v>
      </c>
      <c r="C151" s="4">
        <f t="shared" si="18"/>
        <v>0</v>
      </c>
      <c r="D151" s="4">
        <f t="shared" si="19"/>
        <v>0</v>
      </c>
      <c r="E151" s="3"/>
      <c r="F151" s="54" t="s">
        <v>82</v>
      </c>
      <c r="G151" s="55" t="s">
        <v>81</v>
      </c>
      <c r="H151" s="1"/>
      <c r="I151" s="1" t="s">
        <v>52</v>
      </c>
      <c r="J151" s="1"/>
      <c r="K151" s="55" t="s">
        <v>94</v>
      </c>
      <c r="L151" s="54" t="s">
        <v>95</v>
      </c>
      <c r="M151" s="3"/>
      <c r="N151" s="4">
        <f t="shared" si="20"/>
        <v>0</v>
      </c>
      <c r="O151" s="4">
        <f t="shared" si="21"/>
        <v>0</v>
      </c>
      <c r="P151" s="4" t="str">
        <f t="shared" si="23"/>
        <v>E</v>
      </c>
      <c r="Q151" s="4">
        <f t="shared" si="22"/>
        <v>0</v>
      </c>
    </row>
    <row r="152" spans="1:17" ht="17.25" customHeight="1" x14ac:dyDescent="0.25">
      <c r="A152" s="4">
        <f t="shared" si="17"/>
        <v>0</v>
      </c>
      <c r="B152" s="4" t="str">
        <f t="shared" si="24"/>
        <v>E</v>
      </c>
      <c r="C152" s="4">
        <f t="shared" si="18"/>
        <v>0</v>
      </c>
      <c r="D152" s="4">
        <f t="shared" si="19"/>
        <v>0</v>
      </c>
      <c r="E152" s="3"/>
      <c r="F152" s="54" t="s">
        <v>60</v>
      </c>
      <c r="G152" s="55" t="s">
        <v>100</v>
      </c>
      <c r="H152" s="1"/>
      <c r="I152" s="1" t="s">
        <v>52</v>
      </c>
      <c r="J152" s="1"/>
      <c r="K152" s="55" t="s">
        <v>64</v>
      </c>
      <c r="L152" s="54" t="s">
        <v>84</v>
      </c>
      <c r="M152" s="3"/>
      <c r="N152" s="4">
        <f t="shared" si="20"/>
        <v>0</v>
      </c>
      <c r="O152" s="4">
        <f t="shared" si="21"/>
        <v>0</v>
      </c>
      <c r="P152" s="4" t="str">
        <f t="shared" si="23"/>
        <v>E</v>
      </c>
      <c r="Q152" s="4">
        <f t="shared" si="22"/>
        <v>0</v>
      </c>
    </row>
    <row r="153" spans="1:17" ht="17.25" customHeight="1" x14ac:dyDescent="0.25">
      <c r="A153" s="4">
        <f t="shared" si="17"/>
        <v>0</v>
      </c>
      <c r="B153" s="4" t="str">
        <f t="shared" si="24"/>
        <v>E</v>
      </c>
      <c r="C153" s="4">
        <f t="shared" si="18"/>
        <v>0</v>
      </c>
      <c r="D153" s="4">
        <f t="shared" si="19"/>
        <v>0</v>
      </c>
      <c r="E153" s="3"/>
      <c r="F153" s="54" t="s">
        <v>70</v>
      </c>
      <c r="G153" s="55" t="s">
        <v>69</v>
      </c>
      <c r="H153" s="1"/>
      <c r="I153" s="1" t="s">
        <v>52</v>
      </c>
      <c r="J153" s="1"/>
      <c r="K153" s="55" t="s">
        <v>71</v>
      </c>
      <c r="L153" s="54" t="s">
        <v>68</v>
      </c>
      <c r="M153" s="3"/>
      <c r="N153" s="4">
        <f t="shared" si="20"/>
        <v>0</v>
      </c>
      <c r="O153" s="4">
        <f t="shared" si="21"/>
        <v>0</v>
      </c>
      <c r="P153" s="4" t="str">
        <f t="shared" si="23"/>
        <v>E</v>
      </c>
      <c r="Q153" s="4">
        <f t="shared" si="22"/>
        <v>0</v>
      </c>
    </row>
    <row r="154" spans="1:17" ht="17.25" customHeight="1" x14ac:dyDescent="0.25">
      <c r="A154" s="4">
        <f t="shared" si="17"/>
        <v>0</v>
      </c>
      <c r="B154" s="4" t="str">
        <f t="shared" si="24"/>
        <v>E</v>
      </c>
      <c r="C154" s="4">
        <f t="shared" si="18"/>
        <v>0</v>
      </c>
      <c r="D154" s="4">
        <f t="shared" si="19"/>
        <v>0</v>
      </c>
      <c r="E154" s="3"/>
      <c r="F154" s="54" t="s">
        <v>62</v>
      </c>
      <c r="G154" s="55" t="s">
        <v>85</v>
      </c>
      <c r="H154" s="1"/>
      <c r="I154" s="1" t="s">
        <v>52</v>
      </c>
      <c r="J154" s="1"/>
      <c r="K154" s="55" t="s">
        <v>92</v>
      </c>
      <c r="L154" s="54" t="s">
        <v>93</v>
      </c>
      <c r="M154" s="3"/>
      <c r="N154" s="4">
        <f t="shared" si="20"/>
        <v>0</v>
      </c>
      <c r="O154" s="4">
        <f t="shared" si="21"/>
        <v>0</v>
      </c>
      <c r="P154" s="4" t="str">
        <f t="shared" si="23"/>
        <v>E</v>
      </c>
      <c r="Q154" s="4">
        <f t="shared" si="22"/>
        <v>0</v>
      </c>
    </row>
    <row r="155" spans="1:17" ht="17.25" customHeight="1" x14ac:dyDescent="0.25">
      <c r="A155" s="4">
        <f t="shared" si="17"/>
        <v>0</v>
      </c>
      <c r="B155" s="4" t="str">
        <f t="shared" si="24"/>
        <v>E</v>
      </c>
      <c r="C155" s="4">
        <f t="shared" si="18"/>
        <v>0</v>
      </c>
      <c r="D155" s="4">
        <f t="shared" si="19"/>
        <v>0</v>
      </c>
      <c r="E155" s="3"/>
      <c r="F155" s="54" t="s">
        <v>97</v>
      </c>
      <c r="G155" s="55" t="s">
        <v>96</v>
      </c>
      <c r="H155" s="1"/>
      <c r="I155" s="1" t="s">
        <v>52</v>
      </c>
      <c r="J155" s="1"/>
      <c r="K155" s="55" t="s">
        <v>88</v>
      </c>
      <c r="L155" s="54" t="s">
        <v>89</v>
      </c>
      <c r="M155" s="3"/>
      <c r="N155" s="4">
        <f t="shared" si="20"/>
        <v>0</v>
      </c>
      <c r="O155" s="4">
        <f t="shared" si="21"/>
        <v>0</v>
      </c>
      <c r="P155" s="4" t="str">
        <f t="shared" si="23"/>
        <v>E</v>
      </c>
      <c r="Q155" s="4">
        <f t="shared" si="22"/>
        <v>0</v>
      </c>
    </row>
    <row r="156" spans="1:17" ht="17.25" customHeight="1" x14ac:dyDescent="0.25">
      <c r="A156" s="4">
        <f t="shared" si="17"/>
        <v>0</v>
      </c>
      <c r="B156" s="4" t="str">
        <f t="shared" si="24"/>
        <v>E</v>
      </c>
      <c r="C156" s="4">
        <f t="shared" si="18"/>
        <v>0</v>
      </c>
      <c r="D156" s="4">
        <f t="shared" si="19"/>
        <v>0</v>
      </c>
      <c r="E156" s="3"/>
      <c r="F156" s="54" t="s">
        <v>61</v>
      </c>
      <c r="G156" s="55" t="s">
        <v>83</v>
      </c>
      <c r="H156" s="1"/>
      <c r="I156" s="1" t="s">
        <v>52</v>
      </c>
      <c r="J156" s="1"/>
      <c r="K156" s="55" t="s">
        <v>99</v>
      </c>
      <c r="L156" s="54" t="s">
        <v>98</v>
      </c>
      <c r="M156" s="3"/>
      <c r="N156" s="4">
        <f t="shared" si="20"/>
        <v>0</v>
      </c>
      <c r="O156" s="4">
        <f t="shared" si="21"/>
        <v>0</v>
      </c>
      <c r="P156" s="4" t="str">
        <f t="shared" si="23"/>
        <v>E</v>
      </c>
      <c r="Q156" s="4">
        <f t="shared" si="22"/>
        <v>0</v>
      </c>
    </row>
    <row r="157" spans="1:17" ht="17.25" customHeight="1" x14ac:dyDescent="0.25">
      <c r="E157" s="3"/>
      <c r="F157" s="54" t="s">
        <v>15</v>
      </c>
      <c r="G157" s="53"/>
      <c r="H157" s="53"/>
      <c r="I157" s="53"/>
      <c r="J157" s="53"/>
      <c r="K157" s="53"/>
      <c r="L157" s="53"/>
      <c r="M157" s="3"/>
    </row>
    <row r="158" spans="1:17" ht="17.25" customHeight="1" x14ac:dyDescent="0.25">
      <c r="E158" s="3"/>
      <c r="F158" s="1" t="s">
        <v>1</v>
      </c>
      <c r="G158" s="54" t="s">
        <v>2</v>
      </c>
      <c r="H158" s="1"/>
      <c r="I158" s="1"/>
      <c r="J158" s="1"/>
      <c r="K158" s="54" t="s">
        <v>2</v>
      </c>
      <c r="L158" s="1" t="s">
        <v>1</v>
      </c>
      <c r="M158" s="3"/>
    </row>
    <row r="159" spans="1:17" ht="17.25" customHeight="1" x14ac:dyDescent="0.25">
      <c r="A159" s="4">
        <f t="shared" si="17"/>
        <v>0</v>
      </c>
      <c r="B159" s="4" t="str">
        <f t="shared" si="24"/>
        <v>E</v>
      </c>
      <c r="C159" s="4">
        <f t="shared" si="18"/>
        <v>0</v>
      </c>
      <c r="D159" s="4">
        <f t="shared" si="19"/>
        <v>0</v>
      </c>
      <c r="E159" s="3"/>
      <c r="F159" s="54" t="s">
        <v>80</v>
      </c>
      <c r="G159" s="55" t="s">
        <v>79</v>
      </c>
      <c r="H159" s="1"/>
      <c r="I159" s="1" t="s">
        <v>52</v>
      </c>
      <c r="J159" s="1"/>
      <c r="K159" s="55" t="s">
        <v>71</v>
      </c>
      <c r="L159" s="54" t="s">
        <v>68</v>
      </c>
      <c r="M159" s="3"/>
      <c r="N159" s="4">
        <f t="shared" si="20"/>
        <v>0</v>
      </c>
      <c r="O159" s="4">
        <f t="shared" si="21"/>
        <v>0</v>
      </c>
      <c r="P159" s="4" t="str">
        <f t="shared" si="23"/>
        <v>E</v>
      </c>
      <c r="Q159" s="4">
        <f t="shared" si="22"/>
        <v>0</v>
      </c>
    </row>
    <row r="160" spans="1:17" ht="17.25" customHeight="1" x14ac:dyDescent="0.25">
      <c r="A160" s="4">
        <f t="shared" si="17"/>
        <v>0</v>
      </c>
      <c r="B160" s="4" t="str">
        <f t="shared" si="24"/>
        <v>E</v>
      </c>
      <c r="C160" s="4">
        <f t="shared" si="18"/>
        <v>0</v>
      </c>
      <c r="D160" s="4">
        <f t="shared" si="19"/>
        <v>0</v>
      </c>
      <c r="E160" s="3"/>
      <c r="F160" s="54" t="s">
        <v>78</v>
      </c>
      <c r="G160" s="55" t="s">
        <v>77</v>
      </c>
      <c r="H160" s="1"/>
      <c r="I160" s="1" t="s">
        <v>52</v>
      </c>
      <c r="J160" s="1"/>
      <c r="K160" s="55" t="s">
        <v>73</v>
      </c>
      <c r="L160" s="54" t="s">
        <v>72</v>
      </c>
      <c r="M160" s="3"/>
      <c r="N160" s="4">
        <f t="shared" si="20"/>
        <v>0</v>
      </c>
      <c r="O160" s="4">
        <f t="shared" si="21"/>
        <v>0</v>
      </c>
      <c r="P160" s="4" t="str">
        <f t="shared" si="23"/>
        <v>E</v>
      </c>
      <c r="Q160" s="4">
        <f t="shared" si="22"/>
        <v>0</v>
      </c>
    </row>
    <row r="161" spans="1:17" ht="17.25" customHeight="1" x14ac:dyDescent="0.25">
      <c r="A161" s="4">
        <f t="shared" si="17"/>
        <v>0</v>
      </c>
      <c r="B161" s="4" t="str">
        <f t="shared" si="24"/>
        <v>E</v>
      </c>
      <c r="C161" s="4">
        <f t="shared" si="18"/>
        <v>0</v>
      </c>
      <c r="D161" s="4">
        <f t="shared" si="19"/>
        <v>0</v>
      </c>
      <c r="E161" s="3"/>
      <c r="F161" s="54" t="s">
        <v>93</v>
      </c>
      <c r="G161" s="55" t="s">
        <v>92</v>
      </c>
      <c r="H161" s="1"/>
      <c r="I161" s="1" t="s">
        <v>52</v>
      </c>
      <c r="J161" s="1"/>
      <c r="K161" s="55" t="s">
        <v>88</v>
      </c>
      <c r="L161" s="54" t="s">
        <v>89</v>
      </c>
      <c r="M161" s="3"/>
      <c r="N161" s="4">
        <f t="shared" si="20"/>
        <v>0</v>
      </c>
      <c r="O161" s="4">
        <f t="shared" si="21"/>
        <v>0</v>
      </c>
      <c r="P161" s="4" t="str">
        <f t="shared" si="23"/>
        <v>E</v>
      </c>
      <c r="Q161" s="4">
        <f t="shared" si="22"/>
        <v>0</v>
      </c>
    </row>
    <row r="162" spans="1:17" ht="17.25" customHeight="1" x14ac:dyDescent="0.25">
      <c r="A162" s="4">
        <f t="shared" si="17"/>
        <v>0</v>
      </c>
      <c r="B162" s="4" t="str">
        <f t="shared" si="24"/>
        <v>E</v>
      </c>
      <c r="C162" s="4">
        <f t="shared" si="18"/>
        <v>0</v>
      </c>
      <c r="D162" s="4">
        <f t="shared" si="19"/>
        <v>0</v>
      </c>
      <c r="E162" s="3"/>
      <c r="F162" s="54" t="s">
        <v>65</v>
      </c>
      <c r="G162" s="55" t="s">
        <v>74</v>
      </c>
      <c r="H162" s="1"/>
      <c r="I162" s="1" t="s">
        <v>52</v>
      </c>
      <c r="J162" s="1"/>
      <c r="K162" s="55" t="s">
        <v>64</v>
      </c>
      <c r="L162" s="54" t="s">
        <v>84</v>
      </c>
      <c r="M162" s="3"/>
      <c r="N162" s="4">
        <f t="shared" si="20"/>
        <v>0</v>
      </c>
      <c r="O162" s="4">
        <f t="shared" si="21"/>
        <v>0</v>
      </c>
      <c r="P162" s="4" t="str">
        <f t="shared" si="23"/>
        <v>E</v>
      </c>
      <c r="Q162" s="4">
        <f t="shared" si="22"/>
        <v>0</v>
      </c>
    </row>
    <row r="163" spans="1:17" ht="17.25" customHeight="1" x14ac:dyDescent="0.25">
      <c r="A163" s="4">
        <f t="shared" si="17"/>
        <v>0</v>
      </c>
      <c r="B163" s="4" t="str">
        <f t="shared" si="24"/>
        <v>E</v>
      </c>
      <c r="C163" s="4">
        <f t="shared" si="18"/>
        <v>0</v>
      </c>
      <c r="D163" s="4">
        <f t="shared" si="19"/>
        <v>0</v>
      </c>
      <c r="E163" s="3"/>
      <c r="F163" s="54" t="s">
        <v>76</v>
      </c>
      <c r="G163" s="55" t="s">
        <v>75</v>
      </c>
      <c r="H163" s="1"/>
      <c r="I163" s="1" t="s">
        <v>52</v>
      </c>
      <c r="J163" s="1"/>
      <c r="K163" s="55" t="s">
        <v>99</v>
      </c>
      <c r="L163" s="54" t="s">
        <v>98</v>
      </c>
      <c r="M163" s="3"/>
      <c r="N163" s="4">
        <f t="shared" si="20"/>
        <v>0</v>
      </c>
      <c r="O163" s="4">
        <f t="shared" si="21"/>
        <v>0</v>
      </c>
      <c r="P163" s="4" t="str">
        <f t="shared" si="23"/>
        <v>E</v>
      </c>
      <c r="Q163" s="4">
        <f t="shared" si="22"/>
        <v>0</v>
      </c>
    </row>
    <row r="164" spans="1:17" ht="17.25" customHeight="1" x14ac:dyDescent="0.25">
      <c r="A164" s="4">
        <f t="shared" si="17"/>
        <v>0</v>
      </c>
      <c r="B164" s="4" t="str">
        <f t="shared" si="24"/>
        <v>E</v>
      </c>
      <c r="C164" s="4">
        <f t="shared" si="18"/>
        <v>0</v>
      </c>
      <c r="D164" s="4">
        <f t="shared" si="19"/>
        <v>0</v>
      </c>
      <c r="E164" s="3"/>
      <c r="F164" s="54" t="s">
        <v>60</v>
      </c>
      <c r="G164" s="55" t="s">
        <v>100</v>
      </c>
      <c r="H164" s="1"/>
      <c r="I164" s="1" t="s">
        <v>52</v>
      </c>
      <c r="J164" s="1"/>
      <c r="K164" s="55" t="s">
        <v>85</v>
      </c>
      <c r="L164" s="54" t="s">
        <v>62</v>
      </c>
      <c r="M164" s="3"/>
      <c r="N164" s="4">
        <f t="shared" si="20"/>
        <v>0</v>
      </c>
      <c r="O164" s="4">
        <f t="shared" si="21"/>
        <v>0</v>
      </c>
      <c r="P164" s="4" t="str">
        <f t="shared" si="23"/>
        <v>E</v>
      </c>
      <c r="Q164" s="4">
        <f t="shared" si="22"/>
        <v>0</v>
      </c>
    </row>
    <row r="165" spans="1:17" ht="17.25" customHeight="1" x14ac:dyDescent="0.25">
      <c r="A165" s="4">
        <f t="shared" si="17"/>
        <v>0</v>
      </c>
      <c r="B165" s="4" t="str">
        <f t="shared" si="24"/>
        <v>E</v>
      </c>
      <c r="C165" s="4">
        <f t="shared" si="18"/>
        <v>0</v>
      </c>
      <c r="D165" s="4">
        <f t="shared" si="19"/>
        <v>0</v>
      </c>
      <c r="E165" s="3"/>
      <c r="F165" s="54" t="s">
        <v>70</v>
      </c>
      <c r="G165" s="55" t="s">
        <v>69</v>
      </c>
      <c r="H165" s="1"/>
      <c r="I165" s="1" t="s">
        <v>52</v>
      </c>
      <c r="J165" s="1"/>
      <c r="K165" s="55" t="s">
        <v>94</v>
      </c>
      <c r="L165" s="54" t="s">
        <v>95</v>
      </c>
      <c r="M165" s="3"/>
      <c r="N165" s="4">
        <f t="shared" si="20"/>
        <v>0</v>
      </c>
      <c r="O165" s="4">
        <f t="shared" si="21"/>
        <v>0</v>
      </c>
      <c r="P165" s="4" t="str">
        <f t="shared" si="23"/>
        <v>E</v>
      </c>
      <c r="Q165" s="4">
        <f t="shared" si="22"/>
        <v>0</v>
      </c>
    </row>
    <row r="166" spans="1:17" ht="17.25" customHeight="1" x14ac:dyDescent="0.25">
      <c r="A166" s="4">
        <f t="shared" si="17"/>
        <v>0</v>
      </c>
      <c r="B166" s="4" t="str">
        <f t="shared" si="24"/>
        <v>E</v>
      </c>
      <c r="C166" s="4">
        <f t="shared" si="18"/>
        <v>0</v>
      </c>
      <c r="D166" s="4">
        <f t="shared" si="19"/>
        <v>0</v>
      </c>
      <c r="E166" s="3"/>
      <c r="F166" s="54" t="s">
        <v>63</v>
      </c>
      <c r="G166" s="55" t="s">
        <v>87</v>
      </c>
      <c r="H166" s="1"/>
      <c r="I166" s="1" t="s">
        <v>52</v>
      </c>
      <c r="J166" s="1"/>
      <c r="K166" s="55" t="s">
        <v>67</v>
      </c>
      <c r="L166" s="54" t="s">
        <v>66</v>
      </c>
      <c r="M166" s="3"/>
      <c r="N166" s="4">
        <f t="shared" si="20"/>
        <v>0</v>
      </c>
      <c r="O166" s="4">
        <f t="shared" si="21"/>
        <v>0</v>
      </c>
      <c r="P166" s="4" t="str">
        <f t="shared" si="23"/>
        <v>E</v>
      </c>
      <c r="Q166" s="4">
        <f t="shared" si="22"/>
        <v>0</v>
      </c>
    </row>
    <row r="167" spans="1:17" ht="17.25" customHeight="1" x14ac:dyDescent="0.25">
      <c r="A167" s="4">
        <f t="shared" si="17"/>
        <v>0</v>
      </c>
      <c r="B167" s="4" t="str">
        <f t="shared" si="24"/>
        <v>E</v>
      </c>
      <c r="C167" s="4">
        <f t="shared" si="18"/>
        <v>0</v>
      </c>
      <c r="D167" s="4">
        <f t="shared" si="19"/>
        <v>0</v>
      </c>
      <c r="E167" s="3"/>
      <c r="F167" s="54" t="s">
        <v>97</v>
      </c>
      <c r="G167" s="55" t="s">
        <v>96</v>
      </c>
      <c r="H167" s="1"/>
      <c r="I167" s="1" t="s">
        <v>52</v>
      </c>
      <c r="J167" s="1"/>
      <c r="K167" s="55" t="s">
        <v>81</v>
      </c>
      <c r="L167" s="54" t="s">
        <v>82</v>
      </c>
      <c r="M167" s="3"/>
      <c r="N167" s="4">
        <f t="shared" si="20"/>
        <v>0</v>
      </c>
      <c r="O167" s="4">
        <f t="shared" si="21"/>
        <v>0</v>
      </c>
      <c r="P167" s="4" t="str">
        <f t="shared" si="23"/>
        <v>E</v>
      </c>
      <c r="Q167" s="4">
        <f t="shared" si="22"/>
        <v>0</v>
      </c>
    </row>
    <row r="168" spans="1:17" ht="17.25" customHeight="1" x14ac:dyDescent="0.25">
      <c r="A168" s="4">
        <f t="shared" si="17"/>
        <v>0</v>
      </c>
      <c r="B168" s="4" t="str">
        <f t="shared" si="24"/>
        <v>E</v>
      </c>
      <c r="C168" s="4">
        <f t="shared" si="18"/>
        <v>0</v>
      </c>
      <c r="D168" s="4">
        <f t="shared" si="19"/>
        <v>0</v>
      </c>
      <c r="E168" s="3"/>
      <c r="F168" s="54" t="s">
        <v>61</v>
      </c>
      <c r="G168" s="55" t="s">
        <v>83</v>
      </c>
      <c r="H168" s="1"/>
      <c r="I168" s="1" t="s">
        <v>52</v>
      </c>
      <c r="J168" s="1"/>
      <c r="K168" s="55" t="s">
        <v>90</v>
      </c>
      <c r="L168" s="54" t="s">
        <v>91</v>
      </c>
      <c r="M168" s="3"/>
      <c r="N168" s="4">
        <f t="shared" si="20"/>
        <v>0</v>
      </c>
      <c r="O168" s="4">
        <f t="shared" si="21"/>
        <v>0</v>
      </c>
      <c r="P168" s="4" t="str">
        <f t="shared" si="23"/>
        <v>E</v>
      </c>
      <c r="Q168" s="4">
        <f t="shared" si="22"/>
        <v>0</v>
      </c>
    </row>
    <row r="169" spans="1:17" ht="17.25" customHeight="1" x14ac:dyDescent="0.25">
      <c r="E169" s="3"/>
      <c r="F169" s="54" t="s">
        <v>16</v>
      </c>
      <c r="G169" s="53"/>
      <c r="H169" s="53"/>
      <c r="I169" s="53"/>
      <c r="J169" s="53"/>
      <c r="K169" s="53"/>
      <c r="L169" s="53"/>
      <c r="M169" s="3"/>
    </row>
    <row r="170" spans="1:17" ht="17.25" customHeight="1" x14ac:dyDescent="0.25">
      <c r="E170" s="3"/>
      <c r="F170" s="1" t="s">
        <v>1</v>
      </c>
      <c r="G170" s="54" t="s">
        <v>2</v>
      </c>
      <c r="H170" s="1"/>
      <c r="I170" s="1"/>
      <c r="J170" s="1"/>
      <c r="K170" s="54" t="s">
        <v>2</v>
      </c>
      <c r="L170" s="1" t="s">
        <v>1</v>
      </c>
      <c r="M170" s="3"/>
    </row>
    <row r="171" spans="1:17" ht="17.25" customHeight="1" x14ac:dyDescent="0.25">
      <c r="A171" s="4">
        <f t="shared" si="17"/>
        <v>0</v>
      </c>
      <c r="B171" s="4" t="str">
        <f t="shared" si="24"/>
        <v>E</v>
      </c>
      <c r="C171" s="4">
        <f t="shared" si="18"/>
        <v>0</v>
      </c>
      <c r="D171" s="4">
        <f t="shared" si="19"/>
        <v>0</v>
      </c>
      <c r="E171" s="3"/>
      <c r="F171" s="54" t="s">
        <v>91</v>
      </c>
      <c r="G171" s="55" t="s">
        <v>90</v>
      </c>
      <c r="H171" s="1"/>
      <c r="I171" s="1" t="s">
        <v>52</v>
      </c>
      <c r="J171" s="1"/>
      <c r="K171" s="55" t="s">
        <v>69</v>
      </c>
      <c r="L171" s="54" t="s">
        <v>70</v>
      </c>
      <c r="M171" s="3"/>
      <c r="N171" s="4">
        <f t="shared" si="20"/>
        <v>0</v>
      </c>
      <c r="O171" s="4">
        <f t="shared" si="21"/>
        <v>0</v>
      </c>
      <c r="P171" s="4" t="str">
        <f t="shared" si="23"/>
        <v>E</v>
      </c>
      <c r="Q171" s="4">
        <f t="shared" si="22"/>
        <v>0</v>
      </c>
    </row>
    <row r="172" spans="1:17" ht="17.25" customHeight="1" x14ac:dyDescent="0.25">
      <c r="A172" s="4">
        <f t="shared" si="17"/>
        <v>0</v>
      </c>
      <c r="B172" s="4" t="str">
        <f t="shared" si="24"/>
        <v>E</v>
      </c>
      <c r="C172" s="4">
        <f t="shared" si="18"/>
        <v>0</v>
      </c>
      <c r="D172" s="4">
        <f t="shared" si="19"/>
        <v>0</v>
      </c>
      <c r="E172" s="3"/>
      <c r="F172" s="54" t="s">
        <v>95</v>
      </c>
      <c r="G172" s="55" t="s">
        <v>94</v>
      </c>
      <c r="H172" s="1"/>
      <c r="I172" s="1" t="s">
        <v>52</v>
      </c>
      <c r="J172" s="1"/>
      <c r="K172" s="55" t="s">
        <v>79</v>
      </c>
      <c r="L172" s="54" t="s">
        <v>80</v>
      </c>
      <c r="M172" s="3"/>
      <c r="N172" s="4">
        <f t="shared" si="20"/>
        <v>0</v>
      </c>
      <c r="O172" s="4">
        <f t="shared" si="21"/>
        <v>0</v>
      </c>
      <c r="P172" s="4" t="str">
        <f t="shared" si="23"/>
        <v>E</v>
      </c>
      <c r="Q172" s="4">
        <f t="shared" si="22"/>
        <v>0</v>
      </c>
    </row>
    <row r="173" spans="1:17" ht="17.25" customHeight="1" x14ac:dyDescent="0.25">
      <c r="A173" s="4">
        <f t="shared" si="17"/>
        <v>0</v>
      </c>
      <c r="B173" s="4" t="str">
        <f t="shared" si="24"/>
        <v>E</v>
      </c>
      <c r="C173" s="4">
        <f t="shared" si="18"/>
        <v>0</v>
      </c>
      <c r="D173" s="4">
        <f t="shared" si="19"/>
        <v>0</v>
      </c>
      <c r="E173" s="3"/>
      <c r="F173" s="54" t="s">
        <v>72</v>
      </c>
      <c r="G173" s="55" t="s">
        <v>73</v>
      </c>
      <c r="H173" s="1"/>
      <c r="I173" s="1" t="s">
        <v>52</v>
      </c>
      <c r="J173" s="1"/>
      <c r="K173" s="55" t="s">
        <v>92</v>
      </c>
      <c r="L173" s="54" t="s">
        <v>93</v>
      </c>
      <c r="M173" s="3"/>
      <c r="N173" s="4">
        <f t="shared" si="20"/>
        <v>0</v>
      </c>
      <c r="O173" s="4">
        <f t="shared" si="21"/>
        <v>0</v>
      </c>
      <c r="P173" s="4" t="str">
        <f t="shared" si="23"/>
        <v>E</v>
      </c>
      <c r="Q173" s="4">
        <f t="shared" si="22"/>
        <v>0</v>
      </c>
    </row>
    <row r="174" spans="1:17" ht="17.25" customHeight="1" x14ac:dyDescent="0.25">
      <c r="A174" s="4">
        <f t="shared" si="17"/>
        <v>0</v>
      </c>
      <c r="B174" s="4" t="str">
        <f t="shared" si="24"/>
        <v>E</v>
      </c>
      <c r="C174" s="4">
        <f t="shared" si="18"/>
        <v>0</v>
      </c>
      <c r="D174" s="4">
        <f t="shared" si="19"/>
        <v>0</v>
      </c>
      <c r="E174" s="3"/>
      <c r="F174" s="54" t="s">
        <v>98</v>
      </c>
      <c r="G174" s="55" t="s">
        <v>99</v>
      </c>
      <c r="H174" s="1"/>
      <c r="I174" s="1" t="s">
        <v>52</v>
      </c>
      <c r="J174" s="1"/>
      <c r="K174" s="55" t="s">
        <v>100</v>
      </c>
      <c r="L174" s="54" t="s">
        <v>60</v>
      </c>
      <c r="M174" s="3"/>
      <c r="N174" s="4">
        <f t="shared" si="20"/>
        <v>0</v>
      </c>
      <c r="O174" s="4">
        <f t="shared" si="21"/>
        <v>0</v>
      </c>
      <c r="P174" s="4" t="str">
        <f t="shared" si="23"/>
        <v>E</v>
      </c>
      <c r="Q174" s="4">
        <f t="shared" si="22"/>
        <v>0</v>
      </c>
    </row>
    <row r="175" spans="1:17" ht="17.25" customHeight="1" x14ac:dyDescent="0.25">
      <c r="A175" s="4">
        <f t="shared" si="17"/>
        <v>0</v>
      </c>
      <c r="B175" s="4" t="str">
        <f t="shared" si="24"/>
        <v>E</v>
      </c>
      <c r="C175" s="4">
        <f t="shared" si="18"/>
        <v>0</v>
      </c>
      <c r="D175" s="4">
        <f t="shared" si="19"/>
        <v>0</v>
      </c>
      <c r="E175" s="3"/>
      <c r="F175" s="54" t="s">
        <v>82</v>
      </c>
      <c r="G175" s="55" t="s">
        <v>81</v>
      </c>
      <c r="H175" s="1"/>
      <c r="I175" s="1" t="s">
        <v>52</v>
      </c>
      <c r="J175" s="1"/>
      <c r="K175" s="55" t="s">
        <v>83</v>
      </c>
      <c r="L175" s="54" t="s">
        <v>61</v>
      </c>
      <c r="M175" s="3"/>
      <c r="N175" s="4">
        <f t="shared" si="20"/>
        <v>0</v>
      </c>
      <c r="O175" s="4">
        <f t="shared" si="21"/>
        <v>0</v>
      </c>
      <c r="P175" s="4" t="str">
        <f t="shared" si="23"/>
        <v>E</v>
      </c>
      <c r="Q175" s="4">
        <f t="shared" si="22"/>
        <v>0</v>
      </c>
    </row>
    <row r="176" spans="1:17" ht="17.25" customHeight="1" x14ac:dyDescent="0.25">
      <c r="A176" s="4">
        <f t="shared" si="17"/>
        <v>0</v>
      </c>
      <c r="B176" s="4" t="str">
        <f t="shared" si="24"/>
        <v>E</v>
      </c>
      <c r="C176" s="4">
        <f t="shared" si="18"/>
        <v>0</v>
      </c>
      <c r="D176" s="4">
        <f t="shared" si="19"/>
        <v>0</v>
      </c>
      <c r="E176" s="3"/>
      <c r="F176" s="54" t="s">
        <v>84</v>
      </c>
      <c r="G176" s="55" t="s">
        <v>64</v>
      </c>
      <c r="H176" s="1"/>
      <c r="I176" s="1" t="s">
        <v>52</v>
      </c>
      <c r="J176" s="1"/>
      <c r="K176" s="55" t="s">
        <v>87</v>
      </c>
      <c r="L176" s="54" t="s">
        <v>63</v>
      </c>
      <c r="M176" s="3"/>
      <c r="N176" s="4">
        <f t="shared" si="20"/>
        <v>0</v>
      </c>
      <c r="O176" s="4">
        <f t="shared" si="21"/>
        <v>0</v>
      </c>
      <c r="P176" s="4" t="str">
        <f t="shared" si="23"/>
        <v>E</v>
      </c>
      <c r="Q176" s="4">
        <f t="shared" si="22"/>
        <v>0</v>
      </c>
    </row>
    <row r="177" spans="1:17" ht="17.25" customHeight="1" x14ac:dyDescent="0.25">
      <c r="A177" s="4">
        <f t="shared" si="17"/>
        <v>0</v>
      </c>
      <c r="B177" s="4" t="str">
        <f t="shared" si="24"/>
        <v>E</v>
      </c>
      <c r="C177" s="4">
        <f t="shared" si="18"/>
        <v>0</v>
      </c>
      <c r="D177" s="4">
        <f t="shared" si="19"/>
        <v>0</v>
      </c>
      <c r="E177" s="3"/>
      <c r="F177" s="54" t="s">
        <v>68</v>
      </c>
      <c r="G177" s="55" t="s">
        <v>71</v>
      </c>
      <c r="H177" s="1"/>
      <c r="I177" s="1" t="s">
        <v>52</v>
      </c>
      <c r="J177" s="1"/>
      <c r="K177" s="55" t="s">
        <v>77</v>
      </c>
      <c r="L177" s="54" t="s">
        <v>78</v>
      </c>
      <c r="M177" s="3"/>
      <c r="N177" s="4">
        <f t="shared" si="20"/>
        <v>0</v>
      </c>
      <c r="O177" s="4">
        <f t="shared" si="21"/>
        <v>0</v>
      </c>
      <c r="P177" s="4" t="str">
        <f t="shared" si="23"/>
        <v>E</v>
      </c>
      <c r="Q177" s="4">
        <f t="shared" si="22"/>
        <v>0</v>
      </c>
    </row>
    <row r="178" spans="1:17" ht="17.25" customHeight="1" x14ac:dyDescent="0.25">
      <c r="A178" s="4">
        <f t="shared" si="17"/>
        <v>0</v>
      </c>
      <c r="B178" s="4" t="str">
        <f t="shared" si="24"/>
        <v>E</v>
      </c>
      <c r="C178" s="4">
        <f t="shared" si="18"/>
        <v>0</v>
      </c>
      <c r="D178" s="4">
        <f t="shared" si="19"/>
        <v>0</v>
      </c>
      <c r="E178" s="3"/>
      <c r="F178" s="54" t="s">
        <v>62</v>
      </c>
      <c r="G178" s="55" t="s">
        <v>85</v>
      </c>
      <c r="H178" s="1"/>
      <c r="I178" s="1" t="s">
        <v>52</v>
      </c>
      <c r="J178" s="1"/>
      <c r="K178" s="55" t="s">
        <v>96</v>
      </c>
      <c r="L178" s="54" t="s">
        <v>97</v>
      </c>
      <c r="M178" s="3"/>
      <c r="N178" s="4">
        <f t="shared" si="20"/>
        <v>0</v>
      </c>
      <c r="O178" s="4">
        <f t="shared" si="21"/>
        <v>0</v>
      </c>
      <c r="P178" s="4" t="str">
        <f t="shared" si="23"/>
        <v>E</v>
      </c>
      <c r="Q178" s="4">
        <f t="shared" si="22"/>
        <v>0</v>
      </c>
    </row>
    <row r="179" spans="1:17" ht="17.25" customHeight="1" x14ac:dyDescent="0.25">
      <c r="A179" s="4">
        <f t="shared" si="17"/>
        <v>0</v>
      </c>
      <c r="B179" s="4" t="str">
        <f t="shared" si="24"/>
        <v>E</v>
      </c>
      <c r="C179" s="4">
        <f t="shared" si="18"/>
        <v>0</v>
      </c>
      <c r="D179" s="4">
        <f t="shared" si="19"/>
        <v>0</v>
      </c>
      <c r="E179" s="3"/>
      <c r="F179" s="54" t="s">
        <v>66</v>
      </c>
      <c r="G179" s="55" t="s">
        <v>67</v>
      </c>
      <c r="H179" s="1"/>
      <c r="I179" s="1" t="s">
        <v>52</v>
      </c>
      <c r="J179" s="1"/>
      <c r="K179" s="55" t="s">
        <v>75</v>
      </c>
      <c r="L179" s="54" t="s">
        <v>76</v>
      </c>
      <c r="M179" s="3"/>
      <c r="N179" s="4">
        <f t="shared" si="20"/>
        <v>0</v>
      </c>
      <c r="O179" s="4">
        <f t="shared" si="21"/>
        <v>0</v>
      </c>
      <c r="P179" s="4" t="str">
        <f t="shared" si="23"/>
        <v>E</v>
      </c>
      <c r="Q179" s="4">
        <f t="shared" si="22"/>
        <v>0</v>
      </c>
    </row>
    <row r="180" spans="1:17" ht="17.25" customHeight="1" x14ac:dyDescent="0.25">
      <c r="A180" s="4">
        <f t="shared" si="17"/>
        <v>0</v>
      </c>
      <c r="B180" s="4" t="str">
        <f t="shared" si="24"/>
        <v>E</v>
      </c>
      <c r="C180" s="4">
        <f t="shared" si="18"/>
        <v>0</v>
      </c>
      <c r="D180" s="4">
        <f t="shared" si="19"/>
        <v>0</v>
      </c>
      <c r="E180" s="3"/>
      <c r="F180" s="54" t="s">
        <v>89</v>
      </c>
      <c r="G180" s="55" t="s">
        <v>88</v>
      </c>
      <c r="H180" s="1"/>
      <c r="I180" s="1" t="s">
        <v>52</v>
      </c>
      <c r="J180" s="1"/>
      <c r="K180" s="55" t="s">
        <v>74</v>
      </c>
      <c r="L180" s="54" t="s">
        <v>65</v>
      </c>
      <c r="M180" s="3"/>
      <c r="N180" s="4">
        <f t="shared" si="20"/>
        <v>0</v>
      </c>
      <c r="O180" s="4">
        <f t="shared" si="21"/>
        <v>0</v>
      </c>
      <c r="P180" s="4" t="str">
        <f t="shared" si="23"/>
        <v>E</v>
      </c>
      <c r="Q180" s="4">
        <f t="shared" si="22"/>
        <v>0</v>
      </c>
    </row>
    <row r="181" spans="1:17" ht="17.25" customHeight="1" x14ac:dyDescent="0.25">
      <c r="E181" s="3"/>
      <c r="F181" s="54" t="s">
        <v>17</v>
      </c>
      <c r="G181" s="53"/>
      <c r="H181" s="53"/>
      <c r="I181" s="53"/>
      <c r="J181" s="53"/>
      <c r="K181" s="53"/>
      <c r="L181" s="53"/>
      <c r="M181" s="3"/>
    </row>
    <row r="182" spans="1:17" ht="17.25" customHeight="1" x14ac:dyDescent="0.25">
      <c r="E182" s="3"/>
      <c r="F182" s="1" t="s">
        <v>1</v>
      </c>
      <c r="G182" s="54" t="s">
        <v>2</v>
      </c>
      <c r="H182" s="1"/>
      <c r="I182" s="1"/>
      <c r="J182" s="1"/>
      <c r="K182" s="54" t="s">
        <v>2</v>
      </c>
      <c r="L182" s="1" t="s">
        <v>1</v>
      </c>
      <c r="M182" s="3"/>
    </row>
    <row r="183" spans="1:17" ht="17.25" customHeight="1" x14ac:dyDescent="0.25">
      <c r="A183" s="4">
        <f t="shared" si="17"/>
        <v>0</v>
      </c>
      <c r="B183" s="4" t="str">
        <f t="shared" si="24"/>
        <v>E</v>
      </c>
      <c r="C183" s="4">
        <f t="shared" si="18"/>
        <v>0</v>
      </c>
      <c r="D183" s="4">
        <f t="shared" si="19"/>
        <v>0</v>
      </c>
      <c r="E183" s="3"/>
      <c r="F183" s="54" t="s">
        <v>80</v>
      </c>
      <c r="G183" s="55" t="s">
        <v>79</v>
      </c>
      <c r="H183" s="1"/>
      <c r="I183" s="1" t="s">
        <v>52</v>
      </c>
      <c r="J183" s="1"/>
      <c r="K183" s="55" t="s">
        <v>74</v>
      </c>
      <c r="L183" s="54" t="s">
        <v>65</v>
      </c>
      <c r="M183" s="3"/>
      <c r="N183" s="4">
        <f t="shared" si="20"/>
        <v>0</v>
      </c>
      <c r="O183" s="4">
        <f t="shared" si="21"/>
        <v>0</v>
      </c>
      <c r="P183" s="4" t="str">
        <f t="shared" si="23"/>
        <v>E</v>
      </c>
      <c r="Q183" s="4">
        <f t="shared" si="22"/>
        <v>0</v>
      </c>
    </row>
    <row r="184" spans="1:17" ht="17.25" customHeight="1" x14ac:dyDescent="0.25">
      <c r="A184" s="4">
        <f t="shared" si="17"/>
        <v>0</v>
      </c>
      <c r="B184" s="4" t="str">
        <f t="shared" si="24"/>
        <v>E</v>
      </c>
      <c r="C184" s="4">
        <f t="shared" si="18"/>
        <v>0</v>
      </c>
      <c r="D184" s="4">
        <f t="shared" si="19"/>
        <v>0</v>
      </c>
      <c r="E184" s="3"/>
      <c r="F184" s="54" t="s">
        <v>95</v>
      </c>
      <c r="G184" s="55" t="s">
        <v>94</v>
      </c>
      <c r="H184" s="1"/>
      <c r="I184" s="1" t="s">
        <v>52</v>
      </c>
      <c r="J184" s="1"/>
      <c r="K184" s="55" t="s">
        <v>96</v>
      </c>
      <c r="L184" s="54" t="s">
        <v>97</v>
      </c>
      <c r="M184" s="3"/>
      <c r="N184" s="4">
        <f t="shared" si="20"/>
        <v>0</v>
      </c>
      <c r="O184" s="4">
        <f t="shared" si="21"/>
        <v>0</v>
      </c>
      <c r="P184" s="4" t="str">
        <f t="shared" si="23"/>
        <v>E</v>
      </c>
      <c r="Q184" s="4">
        <f t="shared" si="22"/>
        <v>0</v>
      </c>
    </row>
    <row r="185" spans="1:17" ht="17.25" customHeight="1" x14ac:dyDescent="0.25">
      <c r="A185" s="4">
        <f t="shared" si="17"/>
        <v>0</v>
      </c>
      <c r="B185" s="4" t="str">
        <f t="shared" si="24"/>
        <v>E</v>
      </c>
      <c r="C185" s="4">
        <f t="shared" si="18"/>
        <v>0</v>
      </c>
      <c r="D185" s="4">
        <f t="shared" si="19"/>
        <v>0</v>
      </c>
      <c r="E185" s="3"/>
      <c r="F185" s="54" t="s">
        <v>72</v>
      </c>
      <c r="G185" s="55" t="s">
        <v>73</v>
      </c>
      <c r="H185" s="1"/>
      <c r="I185" s="1" t="s">
        <v>52</v>
      </c>
      <c r="J185" s="1"/>
      <c r="K185" s="55" t="s">
        <v>85</v>
      </c>
      <c r="L185" s="54" t="s">
        <v>62</v>
      </c>
      <c r="M185" s="3"/>
      <c r="N185" s="4">
        <f t="shared" si="20"/>
        <v>0</v>
      </c>
      <c r="O185" s="4">
        <f t="shared" si="21"/>
        <v>0</v>
      </c>
      <c r="P185" s="4" t="str">
        <f t="shared" si="23"/>
        <v>E</v>
      </c>
      <c r="Q185" s="4">
        <f t="shared" si="22"/>
        <v>0</v>
      </c>
    </row>
    <row r="186" spans="1:17" ht="17.25" customHeight="1" x14ac:dyDescent="0.25">
      <c r="A186" s="4">
        <f t="shared" si="17"/>
        <v>0</v>
      </c>
      <c r="B186" s="4" t="str">
        <f t="shared" si="24"/>
        <v>E</v>
      </c>
      <c r="C186" s="4">
        <f t="shared" si="18"/>
        <v>0</v>
      </c>
      <c r="D186" s="4">
        <f t="shared" si="19"/>
        <v>0</v>
      </c>
      <c r="E186" s="3"/>
      <c r="F186" s="54" t="s">
        <v>98</v>
      </c>
      <c r="G186" s="55" t="s">
        <v>99</v>
      </c>
      <c r="H186" s="1"/>
      <c r="I186" s="1" t="s">
        <v>52</v>
      </c>
      <c r="J186" s="1"/>
      <c r="K186" s="55" t="s">
        <v>88</v>
      </c>
      <c r="L186" s="54" t="s">
        <v>89</v>
      </c>
      <c r="M186" s="3"/>
      <c r="N186" s="4">
        <f t="shared" si="20"/>
        <v>0</v>
      </c>
      <c r="O186" s="4">
        <f t="shared" si="21"/>
        <v>0</v>
      </c>
      <c r="P186" s="4" t="str">
        <f t="shared" si="23"/>
        <v>E</v>
      </c>
      <c r="Q186" s="4">
        <f t="shared" si="22"/>
        <v>0</v>
      </c>
    </row>
    <row r="187" spans="1:17" ht="17.25" customHeight="1" x14ac:dyDescent="0.25">
      <c r="A187" s="4">
        <f t="shared" si="17"/>
        <v>0</v>
      </c>
      <c r="B187" s="4" t="str">
        <f t="shared" si="24"/>
        <v>E</v>
      </c>
      <c r="C187" s="4">
        <f t="shared" si="18"/>
        <v>0</v>
      </c>
      <c r="D187" s="4">
        <f t="shared" si="19"/>
        <v>0</v>
      </c>
      <c r="E187" s="3"/>
      <c r="F187" s="54" t="s">
        <v>82</v>
      </c>
      <c r="G187" s="55" t="s">
        <v>81</v>
      </c>
      <c r="H187" s="1"/>
      <c r="I187" s="1" t="s">
        <v>52</v>
      </c>
      <c r="J187" s="1"/>
      <c r="K187" s="55" t="s">
        <v>90</v>
      </c>
      <c r="L187" s="54" t="s">
        <v>91</v>
      </c>
      <c r="M187" s="3"/>
      <c r="N187" s="4">
        <f t="shared" si="20"/>
        <v>0</v>
      </c>
      <c r="O187" s="4">
        <f t="shared" si="21"/>
        <v>0</v>
      </c>
      <c r="P187" s="4" t="str">
        <f t="shared" si="23"/>
        <v>E</v>
      </c>
      <c r="Q187" s="4">
        <f t="shared" si="22"/>
        <v>0</v>
      </c>
    </row>
    <row r="188" spans="1:17" ht="17.25" customHeight="1" x14ac:dyDescent="0.25">
      <c r="A188" s="4">
        <f t="shared" si="17"/>
        <v>0</v>
      </c>
      <c r="B188" s="4" t="str">
        <f t="shared" si="24"/>
        <v>E</v>
      </c>
      <c r="C188" s="4">
        <f t="shared" si="18"/>
        <v>0</v>
      </c>
      <c r="D188" s="4">
        <f t="shared" si="19"/>
        <v>0</v>
      </c>
      <c r="E188" s="3"/>
      <c r="F188" s="54" t="s">
        <v>60</v>
      </c>
      <c r="G188" s="55" t="s">
        <v>100</v>
      </c>
      <c r="H188" s="1"/>
      <c r="I188" s="1" t="s">
        <v>52</v>
      </c>
      <c r="J188" s="1"/>
      <c r="K188" s="55" t="s">
        <v>77</v>
      </c>
      <c r="L188" s="54" t="s">
        <v>78</v>
      </c>
      <c r="M188" s="3"/>
      <c r="N188" s="4">
        <f t="shared" si="20"/>
        <v>0</v>
      </c>
      <c r="O188" s="4">
        <f t="shared" si="21"/>
        <v>0</v>
      </c>
      <c r="P188" s="4" t="str">
        <f t="shared" si="23"/>
        <v>E</v>
      </c>
      <c r="Q188" s="4">
        <f t="shared" si="22"/>
        <v>0</v>
      </c>
    </row>
    <row r="189" spans="1:17" ht="17.25" customHeight="1" x14ac:dyDescent="0.25">
      <c r="A189" s="4">
        <f t="shared" si="17"/>
        <v>0</v>
      </c>
      <c r="B189" s="4" t="str">
        <f t="shared" si="24"/>
        <v>E</v>
      </c>
      <c r="C189" s="4">
        <f t="shared" si="18"/>
        <v>0</v>
      </c>
      <c r="D189" s="4">
        <f t="shared" si="19"/>
        <v>0</v>
      </c>
      <c r="E189" s="3"/>
      <c r="F189" s="54" t="s">
        <v>68</v>
      </c>
      <c r="G189" s="55" t="s">
        <v>71</v>
      </c>
      <c r="H189" s="1"/>
      <c r="I189" s="1" t="s">
        <v>52</v>
      </c>
      <c r="J189" s="1"/>
      <c r="K189" s="55" t="s">
        <v>64</v>
      </c>
      <c r="L189" s="54" t="s">
        <v>84</v>
      </c>
      <c r="M189" s="3"/>
      <c r="N189" s="4">
        <f t="shared" si="20"/>
        <v>0</v>
      </c>
      <c r="O189" s="4">
        <f t="shared" si="21"/>
        <v>0</v>
      </c>
      <c r="P189" s="4" t="str">
        <f t="shared" si="23"/>
        <v>E</v>
      </c>
      <c r="Q189" s="4">
        <f t="shared" si="22"/>
        <v>0</v>
      </c>
    </row>
    <row r="190" spans="1:17" ht="17.25" customHeight="1" x14ac:dyDescent="0.25">
      <c r="A190" s="4">
        <f t="shared" si="17"/>
        <v>0</v>
      </c>
      <c r="B190" s="4" t="str">
        <f t="shared" si="24"/>
        <v>E</v>
      </c>
      <c r="C190" s="4">
        <f t="shared" si="18"/>
        <v>0</v>
      </c>
      <c r="D190" s="4">
        <f t="shared" si="19"/>
        <v>0</v>
      </c>
      <c r="E190" s="3"/>
      <c r="F190" s="54" t="s">
        <v>63</v>
      </c>
      <c r="G190" s="55" t="s">
        <v>87</v>
      </c>
      <c r="H190" s="1"/>
      <c r="I190" s="1" t="s">
        <v>52</v>
      </c>
      <c r="J190" s="1"/>
      <c r="K190" s="55" t="s">
        <v>75</v>
      </c>
      <c r="L190" s="54" t="s">
        <v>76</v>
      </c>
      <c r="M190" s="3"/>
      <c r="N190" s="4">
        <f t="shared" si="20"/>
        <v>0</v>
      </c>
      <c r="O190" s="4">
        <f t="shared" si="21"/>
        <v>0</v>
      </c>
      <c r="P190" s="4" t="str">
        <f t="shared" si="23"/>
        <v>E</v>
      </c>
      <c r="Q190" s="4">
        <f t="shared" si="22"/>
        <v>0</v>
      </c>
    </row>
    <row r="191" spans="1:17" ht="17.25" customHeight="1" x14ac:dyDescent="0.25">
      <c r="A191" s="4">
        <f t="shared" si="17"/>
        <v>0</v>
      </c>
      <c r="B191" s="4" t="str">
        <f t="shared" si="24"/>
        <v>E</v>
      </c>
      <c r="C191" s="4">
        <f t="shared" si="18"/>
        <v>0</v>
      </c>
      <c r="D191" s="4">
        <f t="shared" si="19"/>
        <v>0</v>
      </c>
      <c r="E191" s="3"/>
      <c r="F191" s="54" t="s">
        <v>66</v>
      </c>
      <c r="G191" s="55" t="s">
        <v>67</v>
      </c>
      <c r="H191" s="1"/>
      <c r="I191" s="1" t="s">
        <v>52</v>
      </c>
      <c r="J191" s="1"/>
      <c r="K191" s="55" t="s">
        <v>92</v>
      </c>
      <c r="L191" s="54" t="s">
        <v>93</v>
      </c>
      <c r="M191" s="3"/>
      <c r="N191" s="4">
        <f t="shared" si="20"/>
        <v>0</v>
      </c>
      <c r="O191" s="4">
        <f t="shared" si="21"/>
        <v>0</v>
      </c>
      <c r="P191" s="4" t="str">
        <f t="shared" si="23"/>
        <v>E</v>
      </c>
      <c r="Q191" s="4">
        <f t="shared" si="22"/>
        <v>0</v>
      </c>
    </row>
    <row r="192" spans="1:17" ht="17.25" customHeight="1" x14ac:dyDescent="0.25">
      <c r="A192" s="4">
        <f t="shared" si="17"/>
        <v>0</v>
      </c>
      <c r="B192" s="4" t="str">
        <f t="shared" si="24"/>
        <v>E</v>
      </c>
      <c r="C192" s="4">
        <f t="shared" si="18"/>
        <v>0</v>
      </c>
      <c r="D192" s="4">
        <f t="shared" si="19"/>
        <v>0</v>
      </c>
      <c r="E192" s="3"/>
      <c r="F192" s="54" t="s">
        <v>61</v>
      </c>
      <c r="G192" s="55" t="s">
        <v>83</v>
      </c>
      <c r="H192" s="1"/>
      <c r="I192" s="1" t="s">
        <v>52</v>
      </c>
      <c r="J192" s="1"/>
      <c r="K192" s="55" t="s">
        <v>69</v>
      </c>
      <c r="L192" s="54" t="s">
        <v>70</v>
      </c>
      <c r="M192" s="3"/>
      <c r="N192" s="4">
        <f t="shared" si="20"/>
        <v>0</v>
      </c>
      <c r="O192" s="4">
        <f t="shared" si="21"/>
        <v>0</v>
      </c>
      <c r="P192" s="4" t="str">
        <f t="shared" si="23"/>
        <v>E</v>
      </c>
      <c r="Q192" s="4">
        <f t="shared" si="22"/>
        <v>0</v>
      </c>
    </row>
    <row r="193" spans="1:17" ht="17.25" customHeight="1" x14ac:dyDescent="0.25">
      <c r="E193" s="3"/>
      <c r="F193" s="54" t="s">
        <v>18</v>
      </c>
      <c r="G193" s="53"/>
      <c r="H193" s="53"/>
      <c r="I193" s="53"/>
      <c r="J193" s="53"/>
      <c r="K193" s="53"/>
      <c r="L193" s="53"/>
      <c r="M193" s="3"/>
    </row>
    <row r="194" spans="1:17" ht="17.25" customHeight="1" x14ac:dyDescent="0.25">
      <c r="E194" s="3"/>
      <c r="F194" s="1" t="s">
        <v>1</v>
      </c>
      <c r="G194" s="54" t="s">
        <v>2</v>
      </c>
      <c r="H194" s="1"/>
      <c r="I194" s="1"/>
      <c r="J194" s="1"/>
      <c r="K194" s="54" t="s">
        <v>2</v>
      </c>
      <c r="L194" s="1" t="s">
        <v>1</v>
      </c>
      <c r="M194" s="3"/>
    </row>
    <row r="195" spans="1:17" ht="17.25" customHeight="1" x14ac:dyDescent="0.25">
      <c r="A195" s="4">
        <f t="shared" si="17"/>
        <v>0</v>
      </c>
      <c r="B195" s="4" t="str">
        <f t="shared" si="24"/>
        <v>E</v>
      </c>
      <c r="C195" s="4">
        <f t="shared" si="18"/>
        <v>0</v>
      </c>
      <c r="D195" s="4">
        <f t="shared" si="19"/>
        <v>0</v>
      </c>
      <c r="E195" s="3"/>
      <c r="F195" s="54" t="s">
        <v>91</v>
      </c>
      <c r="G195" s="55" t="s">
        <v>90</v>
      </c>
      <c r="H195" s="1"/>
      <c r="I195" s="1" t="s">
        <v>52</v>
      </c>
      <c r="J195" s="1"/>
      <c r="K195" s="55" t="s">
        <v>67</v>
      </c>
      <c r="L195" s="54" t="s">
        <v>66</v>
      </c>
      <c r="M195" s="3"/>
      <c r="N195" s="4">
        <f t="shared" si="20"/>
        <v>0</v>
      </c>
      <c r="O195" s="4">
        <f t="shared" si="21"/>
        <v>0</v>
      </c>
      <c r="P195" s="4" t="str">
        <f t="shared" si="23"/>
        <v>E</v>
      </c>
      <c r="Q195" s="4">
        <f t="shared" si="22"/>
        <v>0</v>
      </c>
    </row>
    <row r="196" spans="1:17" ht="17.25" customHeight="1" x14ac:dyDescent="0.25">
      <c r="A196" s="4">
        <f t="shared" ref="A196:A228" si="25">C196-D196</f>
        <v>0</v>
      </c>
      <c r="B196" s="4" t="str">
        <f t="shared" si="24"/>
        <v>E</v>
      </c>
      <c r="C196" s="4">
        <f t="shared" ref="C196:C228" si="26">H196</f>
        <v>0</v>
      </c>
      <c r="D196" s="4">
        <f t="shared" ref="D196:D228" si="27">J196</f>
        <v>0</v>
      </c>
      <c r="E196" s="3"/>
      <c r="F196" s="54" t="s">
        <v>78</v>
      </c>
      <c r="G196" s="55" t="s">
        <v>77</v>
      </c>
      <c r="H196" s="1"/>
      <c r="I196" s="1" t="s">
        <v>52</v>
      </c>
      <c r="J196" s="1"/>
      <c r="K196" s="55" t="s">
        <v>83</v>
      </c>
      <c r="L196" s="54" t="s">
        <v>61</v>
      </c>
      <c r="M196" s="3"/>
      <c r="N196" s="4">
        <f t="shared" ref="N196:N228" si="28">H196</f>
        <v>0</v>
      </c>
      <c r="O196" s="4">
        <f t="shared" ref="O196:O228" si="29">J196</f>
        <v>0</v>
      </c>
      <c r="P196" s="4" t="str">
        <f t="shared" si="23"/>
        <v>E</v>
      </c>
      <c r="Q196" s="4">
        <f t="shared" ref="Q196:Q228" si="30">J196-H196</f>
        <v>0</v>
      </c>
    </row>
    <row r="197" spans="1:17" ht="17.25" customHeight="1" x14ac:dyDescent="0.25">
      <c r="A197" s="4">
        <f t="shared" si="25"/>
        <v>0</v>
      </c>
      <c r="B197" s="4" t="str">
        <f t="shared" si="24"/>
        <v>E</v>
      </c>
      <c r="C197" s="4">
        <f t="shared" si="26"/>
        <v>0</v>
      </c>
      <c r="D197" s="4">
        <f t="shared" si="27"/>
        <v>0</v>
      </c>
      <c r="E197" s="3"/>
      <c r="F197" s="54" t="s">
        <v>93</v>
      </c>
      <c r="G197" s="55" t="s">
        <v>92</v>
      </c>
      <c r="H197" s="1"/>
      <c r="I197" s="1" t="s">
        <v>52</v>
      </c>
      <c r="J197" s="1"/>
      <c r="K197" s="55" t="s">
        <v>100</v>
      </c>
      <c r="L197" s="54" t="s">
        <v>60</v>
      </c>
      <c r="M197" s="3"/>
      <c r="N197" s="4">
        <f t="shared" si="28"/>
        <v>0</v>
      </c>
      <c r="O197" s="4">
        <f t="shared" si="29"/>
        <v>0</v>
      </c>
      <c r="P197" s="4" t="str">
        <f t="shared" si="23"/>
        <v>E</v>
      </c>
      <c r="Q197" s="4">
        <f t="shared" si="30"/>
        <v>0</v>
      </c>
    </row>
    <row r="198" spans="1:17" ht="17.25" customHeight="1" x14ac:dyDescent="0.25">
      <c r="A198" s="4">
        <f t="shared" si="25"/>
        <v>0</v>
      </c>
      <c r="B198" s="4" t="str">
        <f t="shared" si="24"/>
        <v>E</v>
      </c>
      <c r="C198" s="4">
        <f t="shared" si="26"/>
        <v>0</v>
      </c>
      <c r="D198" s="4">
        <f t="shared" si="27"/>
        <v>0</v>
      </c>
      <c r="E198" s="3"/>
      <c r="F198" s="54" t="s">
        <v>65</v>
      </c>
      <c r="G198" s="55" t="s">
        <v>74</v>
      </c>
      <c r="H198" s="1"/>
      <c r="I198" s="1" t="s">
        <v>52</v>
      </c>
      <c r="J198" s="1"/>
      <c r="K198" s="55" t="s">
        <v>71</v>
      </c>
      <c r="L198" s="54" t="s">
        <v>68</v>
      </c>
      <c r="M198" s="3"/>
      <c r="N198" s="4">
        <f t="shared" si="28"/>
        <v>0</v>
      </c>
      <c r="O198" s="4">
        <f t="shared" si="29"/>
        <v>0</v>
      </c>
      <c r="P198" s="4" t="str">
        <f t="shared" si="23"/>
        <v>E</v>
      </c>
      <c r="Q198" s="4">
        <f t="shared" si="30"/>
        <v>0</v>
      </c>
    </row>
    <row r="199" spans="1:17" ht="17.25" customHeight="1" x14ac:dyDescent="0.25">
      <c r="A199" s="4">
        <f t="shared" si="25"/>
        <v>0</v>
      </c>
      <c r="B199" s="4" t="str">
        <f t="shared" si="24"/>
        <v>E</v>
      </c>
      <c r="C199" s="4">
        <f t="shared" si="26"/>
        <v>0</v>
      </c>
      <c r="D199" s="4">
        <f t="shared" si="27"/>
        <v>0</v>
      </c>
      <c r="E199" s="3"/>
      <c r="F199" s="54" t="s">
        <v>76</v>
      </c>
      <c r="G199" s="55" t="s">
        <v>75</v>
      </c>
      <c r="H199" s="1"/>
      <c r="I199" s="1" t="s">
        <v>52</v>
      </c>
      <c r="J199" s="1"/>
      <c r="K199" s="55" t="s">
        <v>79</v>
      </c>
      <c r="L199" s="54" t="s">
        <v>80</v>
      </c>
      <c r="M199" s="3"/>
      <c r="N199" s="4">
        <f t="shared" si="28"/>
        <v>0</v>
      </c>
      <c r="O199" s="4">
        <f t="shared" si="29"/>
        <v>0</v>
      </c>
      <c r="P199" s="4" t="str">
        <f t="shared" ref="P199:P228" si="31">_xlfn.IFS(Q199&gt;=5,"V",Q199&lt;=-5,"D",Q199&lt;=-4.99,"E",Q199&lt;=4.99,"E")</f>
        <v>E</v>
      </c>
      <c r="Q199" s="4">
        <f t="shared" si="30"/>
        <v>0</v>
      </c>
    </row>
    <row r="200" spans="1:17" ht="17.25" customHeight="1" x14ac:dyDescent="0.25">
      <c r="A200" s="4">
        <f t="shared" si="25"/>
        <v>0</v>
      </c>
      <c r="B200" s="4" t="str">
        <f t="shared" si="24"/>
        <v>E</v>
      </c>
      <c r="C200" s="4">
        <f t="shared" si="26"/>
        <v>0</v>
      </c>
      <c r="D200" s="4">
        <f t="shared" si="27"/>
        <v>0</v>
      </c>
      <c r="E200" s="3"/>
      <c r="F200" s="54" t="s">
        <v>84</v>
      </c>
      <c r="G200" s="55" t="s">
        <v>64</v>
      </c>
      <c r="H200" s="1"/>
      <c r="I200" s="1" t="s">
        <v>52</v>
      </c>
      <c r="J200" s="1"/>
      <c r="K200" s="55" t="s">
        <v>94</v>
      </c>
      <c r="L200" s="54" t="s">
        <v>95</v>
      </c>
      <c r="M200" s="3"/>
      <c r="N200" s="4">
        <f t="shared" si="28"/>
        <v>0</v>
      </c>
      <c r="O200" s="4">
        <f t="shared" si="29"/>
        <v>0</v>
      </c>
      <c r="P200" s="4" t="str">
        <f t="shared" si="31"/>
        <v>E</v>
      </c>
      <c r="Q200" s="4">
        <f t="shared" si="30"/>
        <v>0</v>
      </c>
    </row>
    <row r="201" spans="1:17" ht="17.25" customHeight="1" x14ac:dyDescent="0.25">
      <c r="A201" s="4">
        <f t="shared" si="25"/>
        <v>0</v>
      </c>
      <c r="B201" s="4" t="str">
        <f t="shared" si="24"/>
        <v>E</v>
      </c>
      <c r="C201" s="4">
        <f t="shared" si="26"/>
        <v>0</v>
      </c>
      <c r="D201" s="4">
        <f t="shared" si="27"/>
        <v>0</v>
      </c>
      <c r="E201" s="3"/>
      <c r="F201" s="54" t="s">
        <v>70</v>
      </c>
      <c r="G201" s="55" t="s">
        <v>69</v>
      </c>
      <c r="H201" s="1"/>
      <c r="I201" s="1" t="s">
        <v>52</v>
      </c>
      <c r="J201" s="1"/>
      <c r="K201" s="55" t="s">
        <v>81</v>
      </c>
      <c r="L201" s="54" t="s">
        <v>82</v>
      </c>
      <c r="M201" s="3"/>
      <c r="N201" s="4">
        <f t="shared" si="28"/>
        <v>0</v>
      </c>
      <c r="O201" s="4">
        <f t="shared" si="29"/>
        <v>0</v>
      </c>
      <c r="P201" s="4" t="str">
        <f t="shared" si="31"/>
        <v>E</v>
      </c>
      <c r="Q201" s="4">
        <f t="shared" si="30"/>
        <v>0</v>
      </c>
    </row>
    <row r="202" spans="1:17" ht="17.25" customHeight="1" x14ac:dyDescent="0.25">
      <c r="A202" s="4">
        <f t="shared" si="25"/>
        <v>0</v>
      </c>
      <c r="B202" s="4" t="str">
        <f t="shared" si="24"/>
        <v>E</v>
      </c>
      <c r="C202" s="4">
        <f t="shared" si="26"/>
        <v>0</v>
      </c>
      <c r="D202" s="4">
        <f t="shared" si="27"/>
        <v>0</v>
      </c>
      <c r="E202" s="3"/>
      <c r="F202" s="54" t="s">
        <v>62</v>
      </c>
      <c r="G202" s="55" t="s">
        <v>85</v>
      </c>
      <c r="H202" s="1"/>
      <c r="I202" s="1" t="s">
        <v>52</v>
      </c>
      <c r="J202" s="1"/>
      <c r="K202" s="55" t="s">
        <v>99</v>
      </c>
      <c r="L202" s="54" t="s">
        <v>98</v>
      </c>
      <c r="M202" s="3"/>
      <c r="N202" s="4">
        <f t="shared" si="28"/>
        <v>0</v>
      </c>
      <c r="O202" s="4">
        <f t="shared" si="29"/>
        <v>0</v>
      </c>
      <c r="P202" s="4" t="str">
        <f t="shared" si="31"/>
        <v>E</v>
      </c>
      <c r="Q202" s="4">
        <f t="shared" si="30"/>
        <v>0</v>
      </c>
    </row>
    <row r="203" spans="1:17" ht="17.25" customHeight="1" x14ac:dyDescent="0.25">
      <c r="A203" s="4">
        <f t="shared" si="25"/>
        <v>0</v>
      </c>
      <c r="B203" s="4" t="str">
        <f t="shared" si="24"/>
        <v>E</v>
      </c>
      <c r="C203" s="4">
        <f t="shared" si="26"/>
        <v>0</v>
      </c>
      <c r="D203" s="4">
        <f t="shared" si="27"/>
        <v>0</v>
      </c>
      <c r="E203" s="3"/>
      <c r="F203" s="54" t="s">
        <v>97</v>
      </c>
      <c r="G203" s="55" t="s">
        <v>96</v>
      </c>
      <c r="H203" s="1"/>
      <c r="I203" s="1" t="s">
        <v>52</v>
      </c>
      <c r="J203" s="1"/>
      <c r="K203" s="55" t="s">
        <v>73</v>
      </c>
      <c r="L203" s="54" t="s">
        <v>72</v>
      </c>
      <c r="M203" s="3"/>
      <c r="N203" s="4">
        <f t="shared" si="28"/>
        <v>0</v>
      </c>
      <c r="O203" s="4">
        <f t="shared" si="29"/>
        <v>0</v>
      </c>
      <c r="P203" s="4" t="str">
        <f t="shared" si="31"/>
        <v>E</v>
      </c>
      <c r="Q203" s="4">
        <f t="shared" si="30"/>
        <v>0</v>
      </c>
    </row>
    <row r="204" spans="1:17" ht="17.25" customHeight="1" x14ac:dyDescent="0.25">
      <c r="A204" s="4">
        <f t="shared" si="25"/>
        <v>0</v>
      </c>
      <c r="B204" s="4" t="str">
        <f t="shared" si="24"/>
        <v>E</v>
      </c>
      <c r="C204" s="4">
        <f t="shared" si="26"/>
        <v>0</v>
      </c>
      <c r="D204" s="4">
        <f t="shared" si="27"/>
        <v>0</v>
      </c>
      <c r="E204" s="3"/>
      <c r="F204" s="54" t="s">
        <v>89</v>
      </c>
      <c r="G204" s="55" t="s">
        <v>88</v>
      </c>
      <c r="H204" s="1"/>
      <c r="I204" s="1" t="s">
        <v>52</v>
      </c>
      <c r="J204" s="1"/>
      <c r="K204" s="55" t="s">
        <v>87</v>
      </c>
      <c r="L204" s="54" t="s">
        <v>63</v>
      </c>
      <c r="M204" s="3"/>
      <c r="N204" s="4">
        <f t="shared" si="28"/>
        <v>0</v>
      </c>
      <c r="O204" s="4">
        <f t="shared" si="29"/>
        <v>0</v>
      </c>
      <c r="P204" s="4" t="str">
        <f t="shared" si="31"/>
        <v>E</v>
      </c>
      <c r="Q204" s="4">
        <f t="shared" si="30"/>
        <v>0</v>
      </c>
    </row>
    <row r="205" spans="1:17" ht="17.25" customHeight="1" x14ac:dyDescent="0.25">
      <c r="E205" s="3"/>
      <c r="F205" s="54" t="s">
        <v>20</v>
      </c>
      <c r="G205" s="53"/>
      <c r="H205" s="53"/>
      <c r="I205" s="53"/>
      <c r="J205" s="53"/>
      <c r="K205" s="53"/>
      <c r="L205" s="53"/>
      <c r="M205" s="3"/>
    </row>
    <row r="206" spans="1:17" ht="17.25" customHeight="1" x14ac:dyDescent="0.25">
      <c r="E206" s="3"/>
      <c r="F206" s="1" t="s">
        <v>1</v>
      </c>
      <c r="G206" s="54" t="s">
        <v>2</v>
      </c>
      <c r="H206" s="1"/>
      <c r="I206" s="1"/>
      <c r="J206" s="1"/>
      <c r="K206" s="54" t="s">
        <v>2</v>
      </c>
      <c r="L206" s="1" t="s">
        <v>1</v>
      </c>
      <c r="M206" s="3"/>
    </row>
    <row r="207" spans="1:17" ht="17.25" customHeight="1" x14ac:dyDescent="0.25">
      <c r="A207" s="4">
        <f t="shared" si="25"/>
        <v>0</v>
      </c>
      <c r="B207" s="4" t="str">
        <f t="shared" ref="B207:B228" si="32">_xlfn.IFS(A207&gt;=5,"V",A207&lt;=-5,"D",A207&lt;=-4.99,"E",A207&lt;=4.99,"E")</f>
        <v>E</v>
      </c>
      <c r="C207" s="4">
        <f t="shared" si="26"/>
        <v>0</v>
      </c>
      <c r="D207" s="4">
        <f t="shared" si="27"/>
        <v>0</v>
      </c>
      <c r="E207" s="3"/>
      <c r="F207" s="54" t="s">
        <v>91</v>
      </c>
      <c r="G207" s="55" t="s">
        <v>90</v>
      </c>
      <c r="H207" s="1"/>
      <c r="I207" s="1" t="s">
        <v>52</v>
      </c>
      <c r="J207" s="1"/>
      <c r="K207" s="55" t="s">
        <v>99</v>
      </c>
      <c r="L207" s="54" t="s">
        <v>98</v>
      </c>
      <c r="M207" s="3"/>
      <c r="N207" s="4">
        <f t="shared" si="28"/>
        <v>0</v>
      </c>
      <c r="O207" s="4">
        <f t="shared" si="29"/>
        <v>0</v>
      </c>
      <c r="P207" s="4" t="str">
        <f t="shared" si="31"/>
        <v>E</v>
      </c>
      <c r="Q207" s="4">
        <f t="shared" si="30"/>
        <v>0</v>
      </c>
    </row>
    <row r="208" spans="1:17" ht="17.25" customHeight="1" x14ac:dyDescent="0.25">
      <c r="A208" s="4">
        <f t="shared" si="25"/>
        <v>0</v>
      </c>
      <c r="B208" s="4" t="str">
        <f t="shared" si="32"/>
        <v>E</v>
      </c>
      <c r="C208" s="4">
        <f t="shared" si="26"/>
        <v>0</v>
      </c>
      <c r="D208" s="4">
        <f t="shared" si="27"/>
        <v>0</v>
      </c>
      <c r="E208" s="3"/>
      <c r="F208" s="54" t="s">
        <v>95</v>
      </c>
      <c r="G208" s="55" t="s">
        <v>94</v>
      </c>
      <c r="H208" s="1"/>
      <c r="I208" s="1" t="s">
        <v>52</v>
      </c>
      <c r="J208" s="1"/>
      <c r="K208" s="55" t="s">
        <v>75</v>
      </c>
      <c r="L208" s="54" t="s">
        <v>76</v>
      </c>
      <c r="M208" s="3"/>
      <c r="N208" s="4">
        <f t="shared" si="28"/>
        <v>0</v>
      </c>
      <c r="O208" s="4">
        <f t="shared" si="29"/>
        <v>0</v>
      </c>
      <c r="P208" s="4" t="str">
        <f t="shared" si="31"/>
        <v>E</v>
      </c>
      <c r="Q208" s="4">
        <f t="shared" si="30"/>
        <v>0</v>
      </c>
    </row>
    <row r="209" spans="1:17" ht="17.25" customHeight="1" x14ac:dyDescent="0.25">
      <c r="A209" s="4">
        <f t="shared" si="25"/>
        <v>0</v>
      </c>
      <c r="B209" s="4" t="str">
        <f t="shared" si="32"/>
        <v>E</v>
      </c>
      <c r="C209" s="4">
        <f t="shared" si="26"/>
        <v>0</v>
      </c>
      <c r="D209" s="4">
        <f t="shared" si="27"/>
        <v>0</v>
      </c>
      <c r="E209" s="3"/>
      <c r="F209" s="54" t="s">
        <v>93</v>
      </c>
      <c r="G209" s="55" t="s">
        <v>92</v>
      </c>
      <c r="H209" s="1"/>
      <c r="I209" s="1" t="s">
        <v>52</v>
      </c>
      <c r="J209" s="1"/>
      <c r="K209" s="55" t="s">
        <v>77</v>
      </c>
      <c r="L209" s="54" t="s">
        <v>78</v>
      </c>
      <c r="M209" s="3"/>
      <c r="N209" s="4">
        <f t="shared" si="28"/>
        <v>0</v>
      </c>
      <c r="O209" s="4">
        <f t="shared" si="29"/>
        <v>0</v>
      </c>
      <c r="P209" s="4" t="str">
        <f t="shared" si="31"/>
        <v>E</v>
      </c>
      <c r="Q209" s="4">
        <f t="shared" si="30"/>
        <v>0</v>
      </c>
    </row>
    <row r="210" spans="1:17" ht="17.25" customHeight="1" x14ac:dyDescent="0.25">
      <c r="A210" s="4">
        <f t="shared" si="25"/>
        <v>0</v>
      </c>
      <c r="B210" s="4" t="str">
        <f t="shared" si="32"/>
        <v>E</v>
      </c>
      <c r="C210" s="4">
        <f t="shared" si="26"/>
        <v>0</v>
      </c>
      <c r="D210" s="4">
        <f t="shared" si="27"/>
        <v>0</v>
      </c>
      <c r="E210" s="3"/>
      <c r="F210" s="54" t="s">
        <v>65</v>
      </c>
      <c r="G210" s="55" t="s">
        <v>74</v>
      </c>
      <c r="H210" s="1"/>
      <c r="I210" s="1" t="s">
        <v>52</v>
      </c>
      <c r="J210" s="1"/>
      <c r="K210" s="55" t="s">
        <v>83</v>
      </c>
      <c r="L210" s="54" t="s">
        <v>61</v>
      </c>
      <c r="M210" s="3"/>
      <c r="N210" s="4">
        <f t="shared" si="28"/>
        <v>0</v>
      </c>
      <c r="O210" s="4">
        <f t="shared" si="29"/>
        <v>0</v>
      </c>
      <c r="P210" s="4" t="str">
        <f t="shared" si="31"/>
        <v>E</v>
      </c>
      <c r="Q210" s="4">
        <f t="shared" si="30"/>
        <v>0</v>
      </c>
    </row>
    <row r="211" spans="1:17" ht="17.25" customHeight="1" x14ac:dyDescent="0.25">
      <c r="A211" s="4">
        <f t="shared" si="25"/>
        <v>0</v>
      </c>
      <c r="B211" s="4" t="str">
        <f t="shared" si="32"/>
        <v>E</v>
      </c>
      <c r="C211" s="4">
        <f t="shared" si="26"/>
        <v>0</v>
      </c>
      <c r="D211" s="4">
        <f t="shared" si="27"/>
        <v>0</v>
      </c>
      <c r="E211" s="3"/>
      <c r="F211" s="54" t="s">
        <v>82</v>
      </c>
      <c r="G211" s="55" t="s">
        <v>81</v>
      </c>
      <c r="H211" s="1"/>
      <c r="I211" s="1" t="s">
        <v>52</v>
      </c>
      <c r="J211" s="1"/>
      <c r="K211" s="55" t="s">
        <v>71</v>
      </c>
      <c r="L211" s="54" t="s">
        <v>68</v>
      </c>
      <c r="M211" s="3"/>
      <c r="N211" s="4">
        <f t="shared" si="28"/>
        <v>0</v>
      </c>
      <c r="O211" s="4">
        <f t="shared" si="29"/>
        <v>0</v>
      </c>
      <c r="P211" s="4" t="str">
        <f t="shared" si="31"/>
        <v>E</v>
      </c>
      <c r="Q211" s="4">
        <f t="shared" si="30"/>
        <v>0</v>
      </c>
    </row>
    <row r="212" spans="1:17" ht="17.25" customHeight="1" x14ac:dyDescent="0.25">
      <c r="A212" s="4">
        <f t="shared" si="25"/>
        <v>0</v>
      </c>
      <c r="B212" s="4" t="str">
        <f t="shared" si="32"/>
        <v>E</v>
      </c>
      <c r="C212" s="4">
        <f t="shared" si="26"/>
        <v>0</v>
      </c>
      <c r="D212" s="4">
        <f t="shared" si="27"/>
        <v>0</v>
      </c>
      <c r="E212" s="3"/>
      <c r="F212" s="54" t="s">
        <v>84</v>
      </c>
      <c r="G212" s="55" t="s">
        <v>64</v>
      </c>
      <c r="H212" s="1"/>
      <c r="I212" s="1" t="s">
        <v>52</v>
      </c>
      <c r="J212" s="1"/>
      <c r="K212" s="55" t="s">
        <v>79</v>
      </c>
      <c r="L212" s="54" t="s">
        <v>80</v>
      </c>
      <c r="M212" s="3"/>
      <c r="N212" s="4">
        <f t="shared" si="28"/>
        <v>0</v>
      </c>
      <c r="O212" s="4">
        <f t="shared" si="29"/>
        <v>0</v>
      </c>
      <c r="P212" s="4" t="str">
        <f t="shared" si="31"/>
        <v>E</v>
      </c>
      <c r="Q212" s="4">
        <f t="shared" si="30"/>
        <v>0</v>
      </c>
    </row>
    <row r="213" spans="1:17" ht="17.25" customHeight="1" x14ac:dyDescent="0.25">
      <c r="A213" s="4">
        <f t="shared" si="25"/>
        <v>0</v>
      </c>
      <c r="B213" s="4" t="str">
        <f t="shared" si="32"/>
        <v>E</v>
      </c>
      <c r="C213" s="4">
        <f t="shared" si="26"/>
        <v>0</v>
      </c>
      <c r="D213" s="4">
        <f t="shared" si="27"/>
        <v>0</v>
      </c>
      <c r="E213" s="3"/>
      <c r="F213" s="54" t="s">
        <v>70</v>
      </c>
      <c r="G213" s="55" t="s">
        <v>69</v>
      </c>
      <c r="H213" s="1"/>
      <c r="I213" s="1" t="s">
        <v>52</v>
      </c>
      <c r="J213" s="1"/>
      <c r="K213" s="55" t="s">
        <v>96</v>
      </c>
      <c r="L213" s="54" t="s">
        <v>97</v>
      </c>
      <c r="M213" s="3"/>
      <c r="N213" s="4">
        <f t="shared" si="28"/>
        <v>0</v>
      </c>
      <c r="O213" s="4">
        <f t="shared" si="29"/>
        <v>0</v>
      </c>
      <c r="P213" s="4" t="str">
        <f t="shared" si="31"/>
        <v>E</v>
      </c>
      <c r="Q213" s="4">
        <f t="shared" si="30"/>
        <v>0</v>
      </c>
    </row>
    <row r="214" spans="1:17" ht="17.25" customHeight="1" x14ac:dyDescent="0.25">
      <c r="A214" s="4">
        <f t="shared" si="25"/>
        <v>0</v>
      </c>
      <c r="B214" s="4" t="str">
        <f t="shared" si="32"/>
        <v>E</v>
      </c>
      <c r="C214" s="4">
        <f t="shared" si="26"/>
        <v>0</v>
      </c>
      <c r="D214" s="4">
        <f t="shared" si="27"/>
        <v>0</v>
      </c>
      <c r="E214" s="3"/>
      <c r="F214" s="54" t="s">
        <v>63</v>
      </c>
      <c r="G214" s="55" t="s">
        <v>87</v>
      </c>
      <c r="H214" s="1"/>
      <c r="I214" s="1" t="s">
        <v>52</v>
      </c>
      <c r="J214" s="1"/>
      <c r="K214" s="55" t="s">
        <v>100</v>
      </c>
      <c r="L214" s="54" t="s">
        <v>60</v>
      </c>
      <c r="M214" s="3"/>
      <c r="N214" s="4">
        <f t="shared" si="28"/>
        <v>0</v>
      </c>
      <c r="O214" s="4">
        <f t="shared" si="29"/>
        <v>0</v>
      </c>
      <c r="P214" s="4" t="str">
        <f t="shared" si="31"/>
        <v>E</v>
      </c>
      <c r="Q214" s="4">
        <f t="shared" si="30"/>
        <v>0</v>
      </c>
    </row>
    <row r="215" spans="1:17" ht="17.25" customHeight="1" x14ac:dyDescent="0.25">
      <c r="A215" s="4">
        <f t="shared" si="25"/>
        <v>0</v>
      </c>
      <c r="B215" s="4" t="str">
        <f t="shared" si="32"/>
        <v>E</v>
      </c>
      <c r="C215" s="4">
        <f t="shared" si="26"/>
        <v>0</v>
      </c>
      <c r="D215" s="4">
        <f t="shared" si="27"/>
        <v>0</v>
      </c>
      <c r="E215" s="3"/>
      <c r="F215" s="54" t="s">
        <v>66</v>
      </c>
      <c r="G215" s="55" t="s">
        <v>67</v>
      </c>
      <c r="H215" s="1"/>
      <c r="I215" s="1" t="s">
        <v>52</v>
      </c>
      <c r="J215" s="1"/>
      <c r="K215" s="55" t="s">
        <v>85</v>
      </c>
      <c r="L215" s="54" t="s">
        <v>62</v>
      </c>
      <c r="M215" s="3"/>
      <c r="N215" s="4">
        <f t="shared" si="28"/>
        <v>0</v>
      </c>
      <c r="O215" s="4">
        <f t="shared" si="29"/>
        <v>0</v>
      </c>
      <c r="P215" s="4" t="str">
        <f t="shared" si="31"/>
        <v>E</v>
      </c>
      <c r="Q215" s="4">
        <f t="shared" si="30"/>
        <v>0</v>
      </c>
    </row>
    <row r="216" spans="1:17" ht="17.25" customHeight="1" x14ac:dyDescent="0.25">
      <c r="A216" s="4">
        <f t="shared" si="25"/>
        <v>0</v>
      </c>
      <c r="B216" s="4" t="str">
        <f t="shared" si="32"/>
        <v>E</v>
      </c>
      <c r="C216" s="4">
        <f t="shared" si="26"/>
        <v>0</v>
      </c>
      <c r="D216" s="4">
        <f t="shared" si="27"/>
        <v>0</v>
      </c>
      <c r="E216" s="3"/>
      <c r="F216" s="54" t="s">
        <v>89</v>
      </c>
      <c r="G216" s="55" t="s">
        <v>88</v>
      </c>
      <c r="H216" s="1"/>
      <c r="I216" s="1" t="s">
        <v>52</v>
      </c>
      <c r="J216" s="1"/>
      <c r="K216" s="55" t="s">
        <v>73</v>
      </c>
      <c r="L216" s="54" t="s">
        <v>72</v>
      </c>
      <c r="M216" s="3"/>
      <c r="N216" s="4">
        <f t="shared" si="28"/>
        <v>0</v>
      </c>
      <c r="O216" s="4">
        <f t="shared" si="29"/>
        <v>0</v>
      </c>
      <c r="P216" s="4" t="str">
        <f t="shared" si="31"/>
        <v>E</v>
      </c>
      <c r="Q216" s="4">
        <f t="shared" si="30"/>
        <v>0</v>
      </c>
    </row>
    <row r="217" spans="1:17" ht="17.25" customHeight="1" x14ac:dyDescent="0.25">
      <c r="E217" s="3"/>
      <c r="F217" s="54" t="s">
        <v>40</v>
      </c>
      <c r="G217" s="53"/>
      <c r="H217" s="53"/>
      <c r="I217" s="53"/>
      <c r="J217" s="53"/>
      <c r="K217" s="53"/>
      <c r="L217" s="53"/>
      <c r="M217" s="3"/>
    </row>
    <row r="218" spans="1:17" ht="17.25" customHeight="1" x14ac:dyDescent="0.25">
      <c r="E218" s="3"/>
      <c r="F218" s="1" t="s">
        <v>1</v>
      </c>
      <c r="G218" s="54" t="s">
        <v>2</v>
      </c>
      <c r="H218" s="1"/>
      <c r="I218" s="1"/>
      <c r="J218" s="1"/>
      <c r="K218" s="54" t="s">
        <v>2</v>
      </c>
      <c r="L218" s="1" t="s">
        <v>1</v>
      </c>
      <c r="M218" s="3"/>
    </row>
    <row r="219" spans="1:17" ht="17.25" customHeight="1" x14ac:dyDescent="0.25">
      <c r="A219" s="4">
        <f t="shared" si="25"/>
        <v>0</v>
      </c>
      <c r="B219" s="4" t="str">
        <f t="shared" si="32"/>
        <v>E</v>
      </c>
      <c r="C219" s="4">
        <f t="shared" si="26"/>
        <v>0</v>
      </c>
      <c r="D219" s="4">
        <f t="shared" si="27"/>
        <v>0</v>
      </c>
      <c r="E219" s="3"/>
      <c r="F219" s="54" t="s">
        <v>80</v>
      </c>
      <c r="G219" s="55" t="s">
        <v>79</v>
      </c>
      <c r="H219" s="61"/>
      <c r="I219" s="1" t="s">
        <v>52</v>
      </c>
      <c r="J219" s="61"/>
      <c r="K219" s="55" t="s">
        <v>92</v>
      </c>
      <c r="L219" s="54" t="s">
        <v>93</v>
      </c>
      <c r="M219" s="3"/>
      <c r="N219" s="4">
        <f t="shared" si="28"/>
        <v>0</v>
      </c>
      <c r="O219" s="4">
        <f t="shared" si="29"/>
        <v>0</v>
      </c>
      <c r="P219" s="4" t="str">
        <f t="shared" si="31"/>
        <v>E</v>
      </c>
      <c r="Q219" s="4">
        <f t="shared" si="30"/>
        <v>0</v>
      </c>
    </row>
    <row r="220" spans="1:17" ht="17.25" customHeight="1" x14ac:dyDescent="0.25">
      <c r="A220" s="4">
        <f t="shared" si="25"/>
        <v>0</v>
      </c>
      <c r="B220" s="4" t="str">
        <f t="shared" si="32"/>
        <v>E</v>
      </c>
      <c r="C220" s="4">
        <f t="shared" si="26"/>
        <v>0</v>
      </c>
      <c r="D220" s="4">
        <f t="shared" si="27"/>
        <v>0</v>
      </c>
      <c r="E220" s="3"/>
      <c r="F220" s="54" t="s">
        <v>78</v>
      </c>
      <c r="G220" s="55" t="s">
        <v>77</v>
      </c>
      <c r="H220" s="61"/>
      <c r="I220" s="1" t="s">
        <v>52</v>
      </c>
      <c r="J220" s="61"/>
      <c r="K220" s="55" t="s">
        <v>67</v>
      </c>
      <c r="L220" s="54" t="s">
        <v>66</v>
      </c>
      <c r="M220" s="3"/>
      <c r="N220" s="4">
        <f t="shared" si="28"/>
        <v>0</v>
      </c>
      <c r="O220" s="4">
        <f t="shared" si="29"/>
        <v>0</v>
      </c>
      <c r="P220" s="4" t="str">
        <f t="shared" si="31"/>
        <v>E</v>
      </c>
      <c r="Q220" s="4">
        <f t="shared" si="30"/>
        <v>0</v>
      </c>
    </row>
    <row r="221" spans="1:17" ht="17.25" customHeight="1" x14ac:dyDescent="0.25">
      <c r="A221" s="4">
        <f t="shared" si="25"/>
        <v>0</v>
      </c>
      <c r="B221" s="4" t="str">
        <f t="shared" si="32"/>
        <v>E</v>
      </c>
      <c r="C221" s="4">
        <f t="shared" si="26"/>
        <v>0</v>
      </c>
      <c r="D221" s="4">
        <f t="shared" si="27"/>
        <v>0</v>
      </c>
      <c r="E221" s="3"/>
      <c r="F221" s="54" t="s">
        <v>72</v>
      </c>
      <c r="G221" s="55" t="s">
        <v>73</v>
      </c>
      <c r="H221" s="61"/>
      <c r="I221" s="1" t="s">
        <v>52</v>
      </c>
      <c r="J221" s="61"/>
      <c r="K221" s="55" t="s">
        <v>81</v>
      </c>
      <c r="L221" s="54" t="s">
        <v>82</v>
      </c>
      <c r="M221" s="3"/>
      <c r="N221" s="4">
        <f t="shared" si="28"/>
        <v>0</v>
      </c>
      <c r="O221" s="4">
        <f t="shared" si="29"/>
        <v>0</v>
      </c>
      <c r="P221" s="4" t="str">
        <f t="shared" si="31"/>
        <v>E</v>
      </c>
      <c r="Q221" s="4">
        <f t="shared" si="30"/>
        <v>0</v>
      </c>
    </row>
    <row r="222" spans="1:17" ht="17.25" customHeight="1" x14ac:dyDescent="0.25">
      <c r="A222" s="4">
        <f t="shared" si="25"/>
        <v>0</v>
      </c>
      <c r="B222" s="4" t="str">
        <f t="shared" si="32"/>
        <v>E</v>
      </c>
      <c r="C222" s="4">
        <f t="shared" si="26"/>
        <v>0</v>
      </c>
      <c r="D222" s="4">
        <f t="shared" si="27"/>
        <v>0</v>
      </c>
      <c r="E222" s="3"/>
      <c r="F222" s="54" t="s">
        <v>98</v>
      </c>
      <c r="G222" s="55" t="s">
        <v>99</v>
      </c>
      <c r="H222" s="61"/>
      <c r="I222" s="1" t="s">
        <v>52</v>
      </c>
      <c r="J222" s="61"/>
      <c r="K222" s="55" t="s">
        <v>69</v>
      </c>
      <c r="L222" s="54" t="s">
        <v>70</v>
      </c>
      <c r="M222" s="3"/>
      <c r="N222" s="4">
        <f t="shared" si="28"/>
        <v>0</v>
      </c>
      <c r="O222" s="4">
        <f t="shared" si="29"/>
        <v>0</v>
      </c>
      <c r="P222" s="4" t="str">
        <f t="shared" si="31"/>
        <v>E</v>
      </c>
      <c r="Q222" s="4">
        <f t="shared" si="30"/>
        <v>0</v>
      </c>
    </row>
    <row r="223" spans="1:17" ht="17.25" customHeight="1" x14ac:dyDescent="0.25">
      <c r="A223" s="4">
        <f t="shared" si="25"/>
        <v>0</v>
      </c>
      <c r="B223" s="4" t="str">
        <f t="shared" si="32"/>
        <v>E</v>
      </c>
      <c r="C223" s="4">
        <f t="shared" si="26"/>
        <v>0</v>
      </c>
      <c r="D223" s="4">
        <f t="shared" si="27"/>
        <v>0</v>
      </c>
      <c r="E223" s="3"/>
      <c r="F223" s="54" t="s">
        <v>76</v>
      </c>
      <c r="G223" s="55" t="s">
        <v>75</v>
      </c>
      <c r="H223" s="61"/>
      <c r="I223" s="1" t="s">
        <v>52</v>
      </c>
      <c r="J223" s="61"/>
      <c r="K223" s="55" t="s">
        <v>64</v>
      </c>
      <c r="L223" s="54" t="s">
        <v>84</v>
      </c>
      <c r="M223" s="3"/>
      <c r="N223" s="4">
        <f t="shared" si="28"/>
        <v>0</v>
      </c>
      <c r="O223" s="4">
        <f t="shared" si="29"/>
        <v>0</v>
      </c>
      <c r="P223" s="4" t="str">
        <f t="shared" si="31"/>
        <v>E</v>
      </c>
      <c r="Q223" s="4">
        <f t="shared" si="30"/>
        <v>0</v>
      </c>
    </row>
    <row r="224" spans="1:17" ht="17.25" customHeight="1" x14ac:dyDescent="0.25">
      <c r="A224" s="4">
        <f t="shared" si="25"/>
        <v>0</v>
      </c>
      <c r="B224" s="4" t="str">
        <f t="shared" si="32"/>
        <v>E</v>
      </c>
      <c r="C224" s="4">
        <f t="shared" si="26"/>
        <v>0</v>
      </c>
      <c r="D224" s="4">
        <f t="shared" si="27"/>
        <v>0</v>
      </c>
      <c r="E224" s="3"/>
      <c r="F224" s="54" t="s">
        <v>60</v>
      </c>
      <c r="G224" s="55" t="s">
        <v>100</v>
      </c>
      <c r="H224" s="61"/>
      <c r="I224" s="1" t="s">
        <v>52</v>
      </c>
      <c r="J224" s="61"/>
      <c r="K224" s="55" t="s">
        <v>74</v>
      </c>
      <c r="L224" s="54" t="s">
        <v>65</v>
      </c>
      <c r="M224" s="3"/>
      <c r="N224" s="4">
        <f t="shared" si="28"/>
        <v>0</v>
      </c>
      <c r="O224" s="4">
        <f t="shared" si="29"/>
        <v>0</v>
      </c>
      <c r="P224" s="4" t="str">
        <f t="shared" si="31"/>
        <v>E</v>
      </c>
      <c r="Q224" s="4">
        <f t="shared" si="30"/>
        <v>0</v>
      </c>
    </row>
    <row r="225" spans="1:44" ht="17.25" customHeight="1" x14ac:dyDescent="0.25">
      <c r="A225" s="4">
        <f t="shared" si="25"/>
        <v>0</v>
      </c>
      <c r="B225" s="4" t="str">
        <f t="shared" si="32"/>
        <v>E</v>
      </c>
      <c r="C225" s="4">
        <f t="shared" si="26"/>
        <v>0</v>
      </c>
      <c r="D225" s="4">
        <f t="shared" si="27"/>
        <v>0</v>
      </c>
      <c r="E225" s="3"/>
      <c r="F225" s="54" t="s">
        <v>68</v>
      </c>
      <c r="G225" s="55" t="s">
        <v>71</v>
      </c>
      <c r="H225" s="61"/>
      <c r="I225" s="1" t="s">
        <v>52</v>
      </c>
      <c r="J225" s="61"/>
      <c r="K225" s="55" t="s">
        <v>87</v>
      </c>
      <c r="L225" s="54" t="s">
        <v>63</v>
      </c>
      <c r="M225" s="3"/>
      <c r="N225" s="4">
        <f t="shared" si="28"/>
        <v>0</v>
      </c>
      <c r="O225" s="4">
        <f t="shared" si="29"/>
        <v>0</v>
      </c>
      <c r="P225" s="4" t="str">
        <f t="shared" si="31"/>
        <v>E</v>
      </c>
      <c r="Q225" s="4">
        <f t="shared" si="30"/>
        <v>0</v>
      </c>
    </row>
    <row r="226" spans="1:44" ht="17.25" customHeight="1" x14ac:dyDescent="0.25">
      <c r="A226" s="4">
        <f t="shared" si="25"/>
        <v>0</v>
      </c>
      <c r="B226" s="4" t="str">
        <f t="shared" si="32"/>
        <v>E</v>
      </c>
      <c r="C226" s="4">
        <f t="shared" si="26"/>
        <v>0</v>
      </c>
      <c r="D226" s="4">
        <f t="shared" si="27"/>
        <v>0</v>
      </c>
      <c r="E226" s="3"/>
      <c r="F226" s="54" t="s">
        <v>62</v>
      </c>
      <c r="G226" s="55" t="s">
        <v>85</v>
      </c>
      <c r="H226" s="61"/>
      <c r="I226" s="1" t="s">
        <v>52</v>
      </c>
      <c r="J226" s="61"/>
      <c r="K226" s="55" t="s">
        <v>88</v>
      </c>
      <c r="L226" s="54" t="s">
        <v>89</v>
      </c>
      <c r="M226" s="3"/>
      <c r="N226" s="4">
        <f t="shared" si="28"/>
        <v>0</v>
      </c>
      <c r="O226" s="4">
        <f t="shared" si="29"/>
        <v>0</v>
      </c>
      <c r="P226" s="4" t="str">
        <f t="shared" si="31"/>
        <v>E</v>
      </c>
      <c r="Q226" s="4">
        <f t="shared" si="30"/>
        <v>0</v>
      </c>
    </row>
    <row r="227" spans="1:44" ht="17.25" customHeight="1" x14ac:dyDescent="0.25">
      <c r="A227" s="4">
        <f t="shared" si="25"/>
        <v>0</v>
      </c>
      <c r="B227" s="4" t="str">
        <f t="shared" si="32"/>
        <v>E</v>
      </c>
      <c r="C227" s="4">
        <f t="shared" si="26"/>
        <v>0</v>
      </c>
      <c r="D227" s="4">
        <f t="shared" si="27"/>
        <v>0</v>
      </c>
      <c r="E227" s="3"/>
      <c r="F227" s="54" t="s">
        <v>97</v>
      </c>
      <c r="G227" s="55" t="s">
        <v>96</v>
      </c>
      <c r="H227" s="61"/>
      <c r="I227" s="1" t="s">
        <v>52</v>
      </c>
      <c r="J227" s="61"/>
      <c r="K227" s="55" t="s">
        <v>90</v>
      </c>
      <c r="L227" s="54" t="s">
        <v>91</v>
      </c>
      <c r="M227" s="3"/>
      <c r="N227" s="4">
        <f t="shared" si="28"/>
        <v>0</v>
      </c>
      <c r="O227" s="4">
        <f t="shared" si="29"/>
        <v>0</v>
      </c>
      <c r="P227" s="4" t="str">
        <f t="shared" si="31"/>
        <v>E</v>
      </c>
      <c r="Q227" s="4">
        <f t="shared" si="30"/>
        <v>0</v>
      </c>
    </row>
    <row r="228" spans="1:44" ht="17.25" customHeight="1" x14ac:dyDescent="0.25">
      <c r="A228" s="4">
        <f t="shared" si="25"/>
        <v>0</v>
      </c>
      <c r="B228" s="4" t="str">
        <f t="shared" si="32"/>
        <v>E</v>
      </c>
      <c r="C228" s="4">
        <f t="shared" si="26"/>
        <v>0</v>
      </c>
      <c r="D228" s="4">
        <f t="shared" si="27"/>
        <v>0</v>
      </c>
      <c r="E228" s="3"/>
      <c r="F228" s="54" t="s">
        <v>61</v>
      </c>
      <c r="G228" s="55" t="s">
        <v>83</v>
      </c>
      <c r="H228" s="61"/>
      <c r="I228" s="1" t="s">
        <v>52</v>
      </c>
      <c r="J228" s="61"/>
      <c r="K228" s="55" t="s">
        <v>94</v>
      </c>
      <c r="L228" s="54" t="s">
        <v>95</v>
      </c>
      <c r="M228" s="3"/>
      <c r="N228" s="4">
        <f t="shared" si="28"/>
        <v>0</v>
      </c>
      <c r="O228" s="4">
        <f t="shared" si="29"/>
        <v>0</v>
      </c>
      <c r="P228" s="4" t="str">
        <f t="shared" si="31"/>
        <v>E</v>
      </c>
      <c r="Q228" s="4">
        <f t="shared" si="30"/>
        <v>0</v>
      </c>
    </row>
    <row r="229" spans="1:44" ht="17.25" customHeight="1" x14ac:dyDescent="0.25">
      <c r="E229" s="3"/>
      <c r="G229" s="3"/>
      <c r="H229" s="64"/>
      <c r="I229" s="3"/>
      <c r="J229" s="64"/>
      <c r="K229" s="3"/>
      <c r="L229" s="3"/>
    </row>
    <row r="230" spans="1:44" ht="17.25" customHeight="1" x14ac:dyDescent="0.25"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62"/>
      <c r="AH230" s="3"/>
    </row>
    <row r="231" spans="1:44" ht="17.25" customHeight="1" x14ac:dyDescent="0.25"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62"/>
      <c r="AH231" s="3"/>
    </row>
    <row r="232" spans="1:44" ht="17.25" customHeight="1" x14ac:dyDescent="0.25"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62"/>
      <c r="AH232" s="3"/>
    </row>
    <row r="233" spans="1:44" ht="17.25" customHeight="1" x14ac:dyDescent="0.25"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62"/>
      <c r="AH233" s="3"/>
    </row>
    <row r="234" spans="1:44" ht="17.25" customHeight="1" x14ac:dyDescent="0.25"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62"/>
      <c r="AH234" s="3"/>
    </row>
    <row r="235" spans="1:44" ht="17.25" customHeight="1" x14ac:dyDescent="0.25"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62"/>
      <c r="AH235" s="3"/>
    </row>
    <row r="236" spans="1:44" ht="17.25" customHeight="1" x14ac:dyDescent="0.25"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62"/>
      <c r="AH236" s="3"/>
    </row>
    <row r="237" spans="1:44" ht="17.25" customHeight="1" x14ac:dyDescent="0.25">
      <c r="V237" s="3"/>
      <c r="W237" s="3"/>
      <c r="X237" s="1" t="s">
        <v>19</v>
      </c>
      <c r="Y237" s="3"/>
      <c r="AA237" s="3"/>
      <c r="AB237" s="3"/>
      <c r="AC237" s="3"/>
      <c r="AE237" s="3"/>
      <c r="AF237" s="3"/>
      <c r="AG237" s="62"/>
      <c r="AH237" s="3"/>
    </row>
    <row r="238" spans="1:44" ht="17.25" customHeight="1" x14ac:dyDescent="0.25">
      <c r="V238" s="3"/>
      <c r="W238" s="3"/>
      <c r="X238" s="5"/>
      <c r="Y238" s="2" t="s">
        <v>21</v>
      </c>
      <c r="Z238" s="2" t="s">
        <v>22</v>
      </c>
      <c r="AA238" s="2" t="s">
        <v>23</v>
      </c>
      <c r="AB238" s="2" t="s">
        <v>24</v>
      </c>
      <c r="AC238" s="2" t="s">
        <v>25</v>
      </c>
      <c r="AD238" s="2" t="s">
        <v>26</v>
      </c>
      <c r="AE238" s="2" t="s">
        <v>27</v>
      </c>
      <c r="AF238" s="2" t="s">
        <v>28</v>
      </c>
      <c r="AG238" s="63" t="s">
        <v>50</v>
      </c>
      <c r="AH238" s="3"/>
      <c r="AR238" s="39"/>
    </row>
    <row r="239" spans="1:44" ht="17.25" customHeight="1" x14ac:dyDescent="0.25">
      <c r="V239" s="3"/>
      <c r="W239" s="18" t="s">
        <v>29</v>
      </c>
      <c r="X239" s="15" t="str">
        <f>X3</f>
        <v>D!NO F.C 10</v>
      </c>
      <c r="Y239" s="15">
        <f t="shared" ref="Y239:AG254" si="33">Y3</f>
        <v>12</v>
      </c>
      <c r="Z239" s="15">
        <f t="shared" si="33"/>
        <v>5</v>
      </c>
      <c r="AA239" s="15">
        <f t="shared" si="33"/>
        <v>4</v>
      </c>
      <c r="AB239" s="15">
        <f t="shared" si="33"/>
        <v>0</v>
      </c>
      <c r="AC239" s="15">
        <f t="shared" si="33"/>
        <v>1</v>
      </c>
      <c r="AD239" s="15">
        <f t="shared" si="33"/>
        <v>477.15</v>
      </c>
      <c r="AE239" s="15">
        <f t="shared" si="33"/>
        <v>432.45000000000005</v>
      </c>
      <c r="AF239" s="28">
        <f t="shared" si="33"/>
        <v>44.699999999999932</v>
      </c>
      <c r="AG239" s="25">
        <f t="shared" si="33"/>
        <v>95.429999999999993</v>
      </c>
      <c r="AH239" s="3"/>
      <c r="AR239" s="40"/>
    </row>
    <row r="240" spans="1:44" ht="17.25" customHeight="1" x14ac:dyDescent="0.25">
      <c r="V240" s="3"/>
      <c r="W240" s="19" t="s">
        <v>30</v>
      </c>
      <c r="X240" s="41" t="str">
        <f t="shared" ref="X240:AG255" si="34">X4</f>
        <v>Óia o rato!</v>
      </c>
      <c r="Y240" s="42">
        <f t="shared" si="33"/>
        <v>12</v>
      </c>
      <c r="Z240" s="42">
        <f t="shared" si="33"/>
        <v>5</v>
      </c>
      <c r="AA240" s="42">
        <f t="shared" si="33"/>
        <v>4</v>
      </c>
      <c r="AB240" s="42">
        <f t="shared" si="33"/>
        <v>0</v>
      </c>
      <c r="AC240" s="42">
        <f t="shared" si="33"/>
        <v>1</v>
      </c>
      <c r="AD240" s="42">
        <f t="shared" si="33"/>
        <v>429.7</v>
      </c>
      <c r="AE240" s="42">
        <f t="shared" si="33"/>
        <v>388.53999999999996</v>
      </c>
      <c r="AF240" s="29">
        <f t="shared" si="33"/>
        <v>41.160000000000025</v>
      </c>
      <c r="AG240" s="26">
        <f t="shared" si="33"/>
        <v>85.94</v>
      </c>
      <c r="AH240" s="3"/>
      <c r="AR240" s="40"/>
    </row>
    <row r="241" spans="22:44" ht="17.25" customHeight="1" x14ac:dyDescent="0.25">
      <c r="V241" s="3"/>
      <c r="W241" s="19" t="s">
        <v>31</v>
      </c>
      <c r="X241" s="41" t="str">
        <f t="shared" si="34"/>
        <v>JP90</v>
      </c>
      <c r="Y241" s="42">
        <f t="shared" si="33"/>
        <v>11</v>
      </c>
      <c r="Z241" s="42">
        <f t="shared" si="33"/>
        <v>5</v>
      </c>
      <c r="AA241" s="42">
        <f t="shared" si="33"/>
        <v>3</v>
      </c>
      <c r="AB241" s="42">
        <f t="shared" si="33"/>
        <v>2</v>
      </c>
      <c r="AC241" s="42">
        <f t="shared" si="33"/>
        <v>0</v>
      </c>
      <c r="AD241" s="42">
        <f t="shared" si="33"/>
        <v>479.19</v>
      </c>
      <c r="AE241" s="42">
        <f t="shared" si="33"/>
        <v>434.26</v>
      </c>
      <c r="AF241" s="29">
        <f t="shared" si="33"/>
        <v>44.930000000000007</v>
      </c>
      <c r="AG241" s="26">
        <f t="shared" si="33"/>
        <v>95.837999999999994</v>
      </c>
      <c r="AH241" s="3"/>
      <c r="AR241" s="40"/>
    </row>
    <row r="242" spans="22:44" ht="17.25" customHeight="1" x14ac:dyDescent="0.25">
      <c r="V242" s="3"/>
      <c r="W242" s="19" t="s">
        <v>32</v>
      </c>
      <c r="X242" s="41" t="str">
        <f t="shared" si="34"/>
        <v>Atlanta J.L 812</v>
      </c>
      <c r="Y242" s="42">
        <f t="shared" si="33"/>
        <v>10</v>
      </c>
      <c r="Z242" s="42">
        <f t="shared" si="33"/>
        <v>5</v>
      </c>
      <c r="AA242" s="42">
        <f t="shared" si="33"/>
        <v>3</v>
      </c>
      <c r="AB242" s="42">
        <f t="shared" si="33"/>
        <v>1</v>
      </c>
      <c r="AC242" s="42">
        <f t="shared" si="33"/>
        <v>1</v>
      </c>
      <c r="AD242" s="42">
        <f t="shared" si="33"/>
        <v>445.09999999999997</v>
      </c>
      <c r="AE242" s="42">
        <f t="shared" si="33"/>
        <v>373.2</v>
      </c>
      <c r="AF242" s="29">
        <f t="shared" si="33"/>
        <v>71.899999999999977</v>
      </c>
      <c r="AG242" s="26">
        <f t="shared" si="33"/>
        <v>89.02</v>
      </c>
      <c r="AH242" s="3"/>
      <c r="AR242" s="40"/>
    </row>
    <row r="243" spans="22:44" ht="17.25" customHeight="1" x14ac:dyDescent="0.25">
      <c r="V243" s="3"/>
      <c r="W243" s="19" t="s">
        <v>33</v>
      </c>
      <c r="X243" s="41" t="str">
        <f t="shared" si="34"/>
        <v>expresso riachense</v>
      </c>
      <c r="Y243" s="42">
        <f t="shared" si="33"/>
        <v>10</v>
      </c>
      <c r="Z243" s="42">
        <f t="shared" si="33"/>
        <v>5</v>
      </c>
      <c r="AA243" s="42">
        <f t="shared" si="33"/>
        <v>3</v>
      </c>
      <c r="AB243" s="42">
        <f t="shared" si="33"/>
        <v>1</v>
      </c>
      <c r="AC243" s="42">
        <f t="shared" si="33"/>
        <v>1</v>
      </c>
      <c r="AD243" s="42">
        <f t="shared" si="33"/>
        <v>462.59999999999997</v>
      </c>
      <c r="AE243" s="42">
        <f t="shared" si="33"/>
        <v>416.26</v>
      </c>
      <c r="AF243" s="29">
        <f t="shared" si="33"/>
        <v>46.339999999999975</v>
      </c>
      <c r="AG243" s="26">
        <f t="shared" si="33"/>
        <v>92.52</v>
      </c>
      <c r="AH243" s="3"/>
      <c r="AR243" s="40"/>
    </row>
    <row r="244" spans="22:44" ht="17.25" customHeight="1" x14ac:dyDescent="0.25">
      <c r="V244" s="3"/>
      <c r="W244" s="19" t="s">
        <v>34</v>
      </c>
      <c r="X244" s="41" t="str">
        <f t="shared" si="34"/>
        <v>Arsenal PE 87</v>
      </c>
      <c r="Y244" s="42">
        <f t="shared" si="33"/>
        <v>10</v>
      </c>
      <c r="Z244" s="42">
        <f t="shared" si="33"/>
        <v>5</v>
      </c>
      <c r="AA244" s="42">
        <f t="shared" si="33"/>
        <v>3</v>
      </c>
      <c r="AB244" s="42">
        <f t="shared" si="33"/>
        <v>1</v>
      </c>
      <c r="AC244" s="42">
        <f t="shared" si="33"/>
        <v>1</v>
      </c>
      <c r="AD244" s="42">
        <f t="shared" si="33"/>
        <v>482.84</v>
      </c>
      <c r="AE244" s="42">
        <f t="shared" si="33"/>
        <v>444.23</v>
      </c>
      <c r="AF244" s="29">
        <f t="shared" si="33"/>
        <v>38.609999999999957</v>
      </c>
      <c r="AG244" s="26">
        <f t="shared" si="33"/>
        <v>96.567999999999998</v>
      </c>
      <c r="AH244" s="3"/>
      <c r="AR244" s="43"/>
    </row>
    <row r="245" spans="22:44" ht="17.25" customHeight="1" x14ac:dyDescent="0.25">
      <c r="V245" s="3"/>
      <c r="W245" s="19" t="s">
        <v>35</v>
      </c>
      <c r="X245" s="41" t="str">
        <f t="shared" si="34"/>
        <v>Cabugi SC</v>
      </c>
      <c r="Y245" s="42">
        <f t="shared" si="33"/>
        <v>9</v>
      </c>
      <c r="Z245" s="42">
        <f t="shared" si="33"/>
        <v>5</v>
      </c>
      <c r="AA245" s="42">
        <f t="shared" si="33"/>
        <v>3</v>
      </c>
      <c r="AB245" s="42">
        <f t="shared" si="33"/>
        <v>0</v>
      </c>
      <c r="AC245" s="42">
        <f t="shared" si="33"/>
        <v>2</v>
      </c>
      <c r="AD245" s="42">
        <f t="shared" si="33"/>
        <v>450.11999999999995</v>
      </c>
      <c r="AE245" s="42">
        <f t="shared" si="33"/>
        <v>388.49</v>
      </c>
      <c r="AF245" s="29">
        <f t="shared" si="33"/>
        <v>61.629999999999939</v>
      </c>
      <c r="AG245" s="26">
        <f t="shared" si="33"/>
        <v>90.023999999999987</v>
      </c>
      <c r="AH245" s="3"/>
      <c r="AR245" s="40"/>
    </row>
    <row r="246" spans="22:44" ht="17.25" customHeight="1" x14ac:dyDescent="0.25">
      <c r="V246" s="3"/>
      <c r="W246" s="19" t="s">
        <v>36</v>
      </c>
      <c r="X246" s="41" t="str">
        <f t="shared" si="34"/>
        <v>Águia Dourada 13</v>
      </c>
      <c r="Y246" s="42">
        <f t="shared" si="33"/>
        <v>9</v>
      </c>
      <c r="Z246" s="42">
        <f t="shared" si="33"/>
        <v>5</v>
      </c>
      <c r="AA246" s="42">
        <f t="shared" si="33"/>
        <v>3</v>
      </c>
      <c r="AB246" s="42">
        <f t="shared" si="33"/>
        <v>0</v>
      </c>
      <c r="AC246" s="42">
        <f t="shared" si="33"/>
        <v>2</v>
      </c>
      <c r="AD246" s="42">
        <f t="shared" si="33"/>
        <v>444.62</v>
      </c>
      <c r="AE246" s="42">
        <f t="shared" si="33"/>
        <v>453.62</v>
      </c>
      <c r="AF246" s="29">
        <f t="shared" si="33"/>
        <v>-9</v>
      </c>
      <c r="AG246" s="26">
        <f t="shared" si="33"/>
        <v>88.924000000000007</v>
      </c>
      <c r="AH246" s="3"/>
      <c r="AR246" s="40"/>
    </row>
    <row r="247" spans="22:44" ht="17.25" customHeight="1" x14ac:dyDescent="0.25">
      <c r="V247" s="3"/>
      <c r="W247" s="19" t="s">
        <v>37</v>
      </c>
      <c r="X247" s="41" t="str">
        <f t="shared" si="34"/>
        <v>TEAM CBUM</v>
      </c>
      <c r="Y247" s="42">
        <f t="shared" si="33"/>
        <v>8</v>
      </c>
      <c r="Z247" s="42">
        <f t="shared" si="33"/>
        <v>5</v>
      </c>
      <c r="AA247" s="42">
        <f t="shared" si="33"/>
        <v>2</v>
      </c>
      <c r="AB247" s="42">
        <f t="shared" si="33"/>
        <v>2</v>
      </c>
      <c r="AC247" s="42">
        <f t="shared" si="33"/>
        <v>1</v>
      </c>
      <c r="AD247" s="42">
        <f t="shared" si="33"/>
        <v>435.01</v>
      </c>
      <c r="AE247" s="42">
        <f t="shared" si="33"/>
        <v>411.94000000000005</v>
      </c>
      <c r="AF247" s="29">
        <f t="shared" si="33"/>
        <v>23.069999999999936</v>
      </c>
      <c r="AG247" s="26">
        <f t="shared" si="33"/>
        <v>87.001999999999995</v>
      </c>
      <c r="AH247" s="3"/>
      <c r="AR247" s="43"/>
    </row>
    <row r="248" spans="22:44" ht="17.25" customHeight="1" x14ac:dyDescent="0.25">
      <c r="V248" s="3"/>
      <c r="W248" s="19" t="s">
        <v>38</v>
      </c>
      <c r="X248" s="41" t="str">
        <f t="shared" si="34"/>
        <v>Black Up City</v>
      </c>
      <c r="Y248" s="42">
        <f t="shared" si="33"/>
        <v>7</v>
      </c>
      <c r="Z248" s="42">
        <f t="shared" si="33"/>
        <v>5</v>
      </c>
      <c r="AA248" s="42">
        <f t="shared" si="33"/>
        <v>2</v>
      </c>
      <c r="AB248" s="42">
        <f t="shared" si="33"/>
        <v>1</v>
      </c>
      <c r="AC248" s="42">
        <f t="shared" si="33"/>
        <v>2</v>
      </c>
      <c r="AD248" s="42">
        <f t="shared" si="33"/>
        <v>441.82000000000005</v>
      </c>
      <c r="AE248" s="42">
        <f t="shared" si="33"/>
        <v>437.37</v>
      </c>
      <c r="AF248" s="29">
        <f t="shared" si="33"/>
        <v>4.4500000000000455</v>
      </c>
      <c r="AG248" s="26">
        <f t="shared" si="33"/>
        <v>88.364000000000004</v>
      </c>
      <c r="AH248" s="3"/>
      <c r="AR248" s="40"/>
    </row>
    <row r="249" spans="22:44" ht="17.25" customHeight="1" x14ac:dyDescent="0.25">
      <c r="V249" s="3"/>
      <c r="W249" s="19" t="s">
        <v>39</v>
      </c>
      <c r="X249" s="41" t="str">
        <f t="shared" si="34"/>
        <v>onça pintanda HD 13</v>
      </c>
      <c r="Y249" s="42">
        <f t="shared" si="33"/>
        <v>7</v>
      </c>
      <c r="Z249" s="42">
        <f t="shared" si="33"/>
        <v>5</v>
      </c>
      <c r="AA249" s="42">
        <f t="shared" si="33"/>
        <v>2</v>
      </c>
      <c r="AB249" s="42">
        <f t="shared" si="33"/>
        <v>1</v>
      </c>
      <c r="AC249" s="42">
        <f t="shared" si="33"/>
        <v>2</v>
      </c>
      <c r="AD249" s="42">
        <f t="shared" si="33"/>
        <v>454.04</v>
      </c>
      <c r="AE249" s="42">
        <f t="shared" si="33"/>
        <v>449.71000000000004</v>
      </c>
      <c r="AF249" s="29">
        <f t="shared" si="33"/>
        <v>4.3299999999999841</v>
      </c>
      <c r="AG249" s="26">
        <f t="shared" si="33"/>
        <v>90.808000000000007</v>
      </c>
      <c r="AH249" s="3"/>
      <c r="AR249" s="43"/>
    </row>
    <row r="250" spans="22:44" ht="17.25" customHeight="1" x14ac:dyDescent="0.25">
      <c r="V250" s="3"/>
      <c r="W250" s="19" t="s">
        <v>41</v>
      </c>
      <c r="X250" s="41" t="str">
        <f t="shared" si="34"/>
        <v>Coquinho bebidas</v>
      </c>
      <c r="Y250" s="42">
        <f t="shared" si="33"/>
        <v>7</v>
      </c>
      <c r="Z250" s="42">
        <f t="shared" si="33"/>
        <v>5</v>
      </c>
      <c r="AA250" s="42">
        <f t="shared" si="33"/>
        <v>2</v>
      </c>
      <c r="AB250" s="42">
        <f t="shared" si="33"/>
        <v>1</v>
      </c>
      <c r="AC250" s="42">
        <f t="shared" si="33"/>
        <v>2</v>
      </c>
      <c r="AD250" s="42">
        <f t="shared" si="33"/>
        <v>414.01</v>
      </c>
      <c r="AE250" s="42">
        <f t="shared" si="33"/>
        <v>443.04</v>
      </c>
      <c r="AF250" s="29">
        <f t="shared" si="33"/>
        <v>-29.03000000000003</v>
      </c>
      <c r="AG250" s="26">
        <f t="shared" si="33"/>
        <v>82.801999999999992</v>
      </c>
      <c r="AH250" s="3"/>
      <c r="AR250" s="40"/>
    </row>
    <row r="251" spans="22:44" ht="17.25" customHeight="1" x14ac:dyDescent="0.25">
      <c r="V251" s="3"/>
      <c r="W251" s="19" t="s">
        <v>42</v>
      </c>
      <c r="X251" s="41" t="str">
        <f t="shared" si="34"/>
        <v>Alison FCC</v>
      </c>
      <c r="Y251" s="42">
        <f t="shared" si="33"/>
        <v>6</v>
      </c>
      <c r="Z251" s="42">
        <f t="shared" si="33"/>
        <v>5</v>
      </c>
      <c r="AA251" s="42">
        <f t="shared" si="33"/>
        <v>2</v>
      </c>
      <c r="AB251" s="42">
        <f t="shared" si="33"/>
        <v>0</v>
      </c>
      <c r="AC251" s="42">
        <f t="shared" si="33"/>
        <v>3</v>
      </c>
      <c r="AD251" s="42">
        <f t="shared" si="33"/>
        <v>429.44000000000005</v>
      </c>
      <c r="AE251" s="42">
        <f t="shared" si="33"/>
        <v>465.31</v>
      </c>
      <c r="AF251" s="29">
        <f t="shared" si="33"/>
        <v>-35.869999999999948</v>
      </c>
      <c r="AG251" s="26">
        <f t="shared" si="33"/>
        <v>85.888000000000005</v>
      </c>
      <c r="AH251" s="3"/>
      <c r="AR251" s="43"/>
    </row>
    <row r="252" spans="22:44" ht="17.25" customHeight="1" x14ac:dyDescent="0.25">
      <c r="V252" s="3"/>
      <c r="W252" s="19" t="s">
        <v>43</v>
      </c>
      <c r="X252" s="41" t="str">
        <f t="shared" si="34"/>
        <v>Atletico Juventus T.C</v>
      </c>
      <c r="Y252" s="42">
        <f t="shared" si="33"/>
        <v>6</v>
      </c>
      <c r="Z252" s="42">
        <f t="shared" si="33"/>
        <v>5</v>
      </c>
      <c r="AA252" s="42">
        <f t="shared" si="33"/>
        <v>1</v>
      </c>
      <c r="AB252" s="42">
        <f t="shared" si="33"/>
        <v>3</v>
      </c>
      <c r="AC252" s="42">
        <f t="shared" si="33"/>
        <v>1</v>
      </c>
      <c r="AD252" s="42">
        <f t="shared" si="33"/>
        <v>447.48</v>
      </c>
      <c r="AE252" s="42">
        <f t="shared" si="33"/>
        <v>455.40999999999997</v>
      </c>
      <c r="AF252" s="29">
        <f t="shared" si="33"/>
        <v>-7.92999999999995</v>
      </c>
      <c r="AG252" s="26">
        <f t="shared" si="33"/>
        <v>89.496000000000009</v>
      </c>
      <c r="AH252" s="3"/>
      <c r="AR252" s="40"/>
    </row>
    <row r="253" spans="22:44" ht="17.25" customHeight="1" x14ac:dyDescent="0.25">
      <c r="V253" s="3"/>
      <c r="W253" s="19" t="s">
        <v>44</v>
      </c>
      <c r="X253" s="41" t="str">
        <f t="shared" si="34"/>
        <v>kaio paredão FC 01</v>
      </c>
      <c r="Y253" s="42">
        <f t="shared" si="33"/>
        <v>6</v>
      </c>
      <c r="Z253" s="42">
        <f t="shared" si="33"/>
        <v>5</v>
      </c>
      <c r="AA253" s="42">
        <f t="shared" si="33"/>
        <v>1</v>
      </c>
      <c r="AB253" s="42">
        <f t="shared" si="33"/>
        <v>3</v>
      </c>
      <c r="AC253" s="42">
        <f t="shared" si="33"/>
        <v>1</v>
      </c>
      <c r="AD253" s="42">
        <f t="shared" si="33"/>
        <v>429.75</v>
      </c>
      <c r="AE253" s="42">
        <f t="shared" si="33"/>
        <v>438.25</v>
      </c>
      <c r="AF253" s="29">
        <f t="shared" si="33"/>
        <v>-8.5</v>
      </c>
      <c r="AG253" s="26">
        <f t="shared" si="33"/>
        <v>85.95</v>
      </c>
      <c r="AH253" s="3"/>
      <c r="AR253" s="43"/>
    </row>
    <row r="254" spans="22:44" ht="17.25" customHeight="1" x14ac:dyDescent="0.25">
      <c r="V254" s="3"/>
      <c r="W254" s="19" t="s">
        <v>45</v>
      </c>
      <c r="X254" s="41" t="str">
        <f t="shared" si="34"/>
        <v>KENNEDY TEAM</v>
      </c>
      <c r="Y254" s="42">
        <f t="shared" si="33"/>
        <v>4</v>
      </c>
      <c r="Z254" s="42">
        <f t="shared" si="33"/>
        <v>5</v>
      </c>
      <c r="AA254" s="42">
        <f t="shared" si="33"/>
        <v>1</v>
      </c>
      <c r="AB254" s="42">
        <f t="shared" si="33"/>
        <v>1</v>
      </c>
      <c r="AC254" s="42">
        <f t="shared" si="33"/>
        <v>3</v>
      </c>
      <c r="AD254" s="42">
        <f t="shared" si="33"/>
        <v>403.90999999999997</v>
      </c>
      <c r="AE254" s="42">
        <f t="shared" si="33"/>
        <v>441.59999999999997</v>
      </c>
      <c r="AF254" s="29">
        <f t="shared" si="33"/>
        <v>-37.69</v>
      </c>
      <c r="AG254" s="26">
        <f t="shared" si="33"/>
        <v>80.781999999999996</v>
      </c>
      <c r="AH254" s="3"/>
      <c r="AR254" s="43"/>
    </row>
    <row r="255" spans="22:44" ht="17.25" customHeight="1" x14ac:dyDescent="0.25">
      <c r="V255" s="3"/>
      <c r="W255" s="20" t="s">
        <v>46</v>
      </c>
      <c r="X255" s="44" t="str">
        <f t="shared" si="34"/>
        <v>Serra Verde Futebol Club</v>
      </c>
      <c r="Y255" s="44">
        <f t="shared" si="34"/>
        <v>2</v>
      </c>
      <c r="Z255" s="44">
        <f t="shared" si="34"/>
        <v>5</v>
      </c>
      <c r="AA255" s="44">
        <f t="shared" si="34"/>
        <v>0</v>
      </c>
      <c r="AB255" s="44">
        <f t="shared" si="34"/>
        <v>2</v>
      </c>
      <c r="AC255" s="44">
        <f t="shared" si="34"/>
        <v>3</v>
      </c>
      <c r="AD255" s="44">
        <f t="shared" si="34"/>
        <v>417.82</v>
      </c>
      <c r="AE255" s="44">
        <f t="shared" si="34"/>
        <v>445.53</v>
      </c>
      <c r="AF255" s="30">
        <f t="shared" si="34"/>
        <v>-27.70999999999998</v>
      </c>
      <c r="AG255" s="26">
        <f t="shared" si="34"/>
        <v>83.563999999999993</v>
      </c>
      <c r="AH255" s="3"/>
      <c r="AR255" s="43"/>
    </row>
    <row r="256" spans="22:44" ht="17.25" customHeight="1" x14ac:dyDescent="0.25">
      <c r="V256" s="3"/>
      <c r="W256" s="20" t="s">
        <v>47</v>
      </c>
      <c r="X256" s="44" t="str">
        <f t="shared" ref="X256:AG258" si="35">X20</f>
        <v>Alex Antenas</v>
      </c>
      <c r="Y256" s="44">
        <f t="shared" si="35"/>
        <v>1</v>
      </c>
      <c r="Z256" s="44">
        <f t="shared" si="35"/>
        <v>5</v>
      </c>
      <c r="AA256" s="44">
        <f t="shared" si="35"/>
        <v>0</v>
      </c>
      <c r="AB256" s="44">
        <f t="shared" si="35"/>
        <v>1</v>
      </c>
      <c r="AC256" s="44">
        <f t="shared" si="35"/>
        <v>4</v>
      </c>
      <c r="AD256" s="44">
        <f t="shared" si="35"/>
        <v>413.28</v>
      </c>
      <c r="AE256" s="44">
        <f t="shared" si="35"/>
        <v>454.89</v>
      </c>
      <c r="AF256" s="30">
        <f t="shared" si="35"/>
        <v>-41.610000000000014</v>
      </c>
      <c r="AG256" s="26">
        <f t="shared" si="35"/>
        <v>82.655999999999992</v>
      </c>
      <c r="AH256" s="3"/>
      <c r="AR256" s="43"/>
    </row>
    <row r="257" spans="12:44" ht="17.25" customHeight="1" x14ac:dyDescent="0.25">
      <c r="V257" s="3"/>
      <c r="W257" s="20" t="s">
        <v>48</v>
      </c>
      <c r="X257" s="44" t="str">
        <f t="shared" si="35"/>
        <v>Brasmanha SC</v>
      </c>
      <c r="Y257" s="44">
        <f t="shared" si="35"/>
        <v>1</v>
      </c>
      <c r="Z257" s="44">
        <f t="shared" si="35"/>
        <v>5</v>
      </c>
      <c r="AA257" s="44">
        <f t="shared" si="35"/>
        <v>0</v>
      </c>
      <c r="AB257" s="44">
        <f t="shared" si="35"/>
        <v>1</v>
      </c>
      <c r="AC257" s="44">
        <f t="shared" si="35"/>
        <v>4</v>
      </c>
      <c r="AD257" s="44">
        <f t="shared" si="35"/>
        <v>404.69000000000005</v>
      </c>
      <c r="AE257" s="44">
        <f t="shared" si="35"/>
        <v>473.13</v>
      </c>
      <c r="AF257" s="30">
        <f t="shared" si="35"/>
        <v>-68.439999999999941</v>
      </c>
      <c r="AG257" s="26">
        <f t="shared" si="35"/>
        <v>80.938000000000017</v>
      </c>
      <c r="AH257" s="3"/>
      <c r="AR257" s="43"/>
    </row>
    <row r="258" spans="12:44" ht="17.25" customHeight="1" x14ac:dyDescent="0.25">
      <c r="V258" s="3"/>
      <c r="W258" s="21" t="s">
        <v>49</v>
      </c>
      <c r="X258" s="16" t="str">
        <f t="shared" si="35"/>
        <v>Belo Tricolor</v>
      </c>
      <c r="Y258" s="17">
        <f t="shared" si="35"/>
        <v>1</v>
      </c>
      <c r="Z258" s="17">
        <f t="shared" si="35"/>
        <v>5</v>
      </c>
      <c r="AA258" s="17">
        <f t="shared" si="35"/>
        <v>0</v>
      </c>
      <c r="AB258" s="17">
        <f t="shared" si="35"/>
        <v>1</v>
      </c>
      <c r="AC258" s="17">
        <f t="shared" si="35"/>
        <v>4</v>
      </c>
      <c r="AD258" s="17">
        <f t="shared" si="35"/>
        <v>325.74</v>
      </c>
      <c r="AE258" s="17">
        <f t="shared" si="35"/>
        <v>441.08</v>
      </c>
      <c r="AF258" s="31">
        <f t="shared" si="35"/>
        <v>-115.33999999999997</v>
      </c>
      <c r="AG258" s="27">
        <f t="shared" si="35"/>
        <v>65.147999999999996</v>
      </c>
      <c r="AH258" s="3"/>
      <c r="AR258" s="43"/>
    </row>
    <row r="259" spans="12:44" ht="17.25" customHeight="1" x14ac:dyDescent="0.25"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62"/>
      <c r="AH259" s="3"/>
    </row>
    <row r="260" spans="12:44" ht="17.25" customHeight="1" x14ac:dyDescent="0.25">
      <c r="V260" s="3"/>
      <c r="W260" s="7"/>
      <c r="X260" s="8" t="s">
        <v>59</v>
      </c>
      <c r="Y260" s="3"/>
      <c r="Z260" s="3"/>
      <c r="AA260" s="3"/>
      <c r="AB260" s="3"/>
      <c r="AC260" s="3"/>
      <c r="AD260" s="3"/>
      <c r="AE260" s="3"/>
      <c r="AF260" s="3"/>
      <c r="AG260" s="62"/>
      <c r="AH260" s="3"/>
    </row>
    <row r="261" spans="12:44" ht="17.25" customHeight="1" x14ac:dyDescent="0.25">
      <c r="L261" s="67"/>
      <c r="V261" s="3"/>
      <c r="W261" s="9"/>
      <c r="X261" s="10" t="s">
        <v>51</v>
      </c>
      <c r="Y261" s="3"/>
      <c r="Z261" s="3"/>
      <c r="AA261" s="3"/>
      <c r="AB261" s="3"/>
      <c r="AC261" s="3"/>
      <c r="AD261" s="3"/>
      <c r="AE261" s="3"/>
      <c r="AF261" s="3"/>
      <c r="AG261" s="62"/>
      <c r="AH261" s="3"/>
    </row>
    <row r="262" spans="12:44" ht="17.25" customHeight="1" x14ac:dyDescent="0.25"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62"/>
      <c r="AH262" s="3"/>
    </row>
    <row r="263" spans="12:44" ht="17.25" customHeight="1" x14ac:dyDescent="0.25"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62"/>
      <c r="AH263" s="3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I48"/>
  <sheetViews>
    <sheetView zoomScale="75" zoomScaleNormal="75" workbookViewId="0">
      <selection activeCell="D31" sqref="D31"/>
    </sheetView>
  </sheetViews>
  <sheetFormatPr defaultRowHeight="15.75" x14ac:dyDescent="0.25"/>
  <cols>
    <col min="1" max="1" width="23.28515625" style="13" bestFit="1" customWidth="1"/>
    <col min="2" max="2" width="38" style="45" bestFit="1" customWidth="1"/>
    <col min="3" max="3" width="18" style="13" bestFit="1" customWidth="1"/>
    <col min="4" max="4" width="33.42578125" style="13" bestFit="1" customWidth="1"/>
    <col min="5" max="7" width="9.140625" style="13"/>
    <col min="8" max="8" width="38" style="13" bestFit="1" customWidth="1"/>
    <col min="9" max="9" width="23.28515625" style="13" bestFit="1" customWidth="1"/>
    <col min="10" max="16384" width="9.140625" style="13"/>
  </cols>
  <sheetData>
    <row r="1" spans="1:9" ht="18.75" x14ac:dyDescent="0.25">
      <c r="A1" s="1" t="s">
        <v>1</v>
      </c>
      <c r="B1" s="54" t="s">
        <v>2</v>
      </c>
      <c r="C1" s="54" t="s">
        <v>86</v>
      </c>
    </row>
    <row r="2" spans="1:9" ht="18.75" x14ac:dyDescent="0.25">
      <c r="A2" s="54" t="s">
        <v>62</v>
      </c>
      <c r="B2" s="55" t="s">
        <v>85</v>
      </c>
      <c r="C2" s="55">
        <v>0</v>
      </c>
    </row>
    <row r="3" spans="1:9" ht="18.75" x14ac:dyDescent="0.3">
      <c r="A3" s="54" t="s">
        <v>61</v>
      </c>
      <c r="B3" s="55" t="s">
        <v>83</v>
      </c>
      <c r="C3" s="55">
        <v>0</v>
      </c>
      <c r="H3" s="56"/>
      <c r="I3" s="57"/>
    </row>
    <row r="4" spans="1:9" ht="18.75" x14ac:dyDescent="0.3">
      <c r="A4" s="54" t="s">
        <v>95</v>
      </c>
      <c r="B4" s="55" t="s">
        <v>94</v>
      </c>
      <c r="C4" s="55">
        <v>0</v>
      </c>
      <c r="H4" s="56"/>
      <c r="I4" s="57"/>
    </row>
    <row r="5" spans="1:9" ht="18.75" x14ac:dyDescent="0.3">
      <c r="A5" s="54" t="s">
        <v>89</v>
      </c>
      <c r="B5" s="55" t="s">
        <v>88</v>
      </c>
      <c r="C5" s="55">
        <v>0</v>
      </c>
      <c r="H5" s="56"/>
      <c r="I5" s="57"/>
    </row>
    <row r="6" spans="1:9" ht="18.75" x14ac:dyDescent="0.3">
      <c r="A6" s="54" t="s">
        <v>80</v>
      </c>
      <c r="B6" s="55" t="s">
        <v>79</v>
      </c>
      <c r="C6" s="55">
        <v>0</v>
      </c>
      <c r="H6" s="56"/>
      <c r="I6" s="57"/>
    </row>
    <row r="7" spans="1:9" ht="18.75" x14ac:dyDescent="0.3">
      <c r="A7" s="54" t="s">
        <v>91</v>
      </c>
      <c r="B7" s="55" t="s">
        <v>90</v>
      </c>
      <c r="C7" s="55">
        <v>0</v>
      </c>
      <c r="H7" s="56"/>
      <c r="I7" s="57"/>
    </row>
    <row r="8" spans="1:9" ht="18.75" x14ac:dyDescent="0.3">
      <c r="A8" s="54" t="s">
        <v>98</v>
      </c>
      <c r="B8" s="55" t="s">
        <v>99</v>
      </c>
      <c r="C8" s="55">
        <v>0</v>
      </c>
      <c r="H8" s="56"/>
      <c r="I8" s="57"/>
    </row>
    <row r="9" spans="1:9" ht="18.75" x14ac:dyDescent="0.3">
      <c r="A9" s="54" t="s">
        <v>70</v>
      </c>
      <c r="B9" s="55" t="s">
        <v>69</v>
      </c>
      <c r="C9" s="55">
        <v>0</v>
      </c>
      <c r="H9" s="56"/>
      <c r="I9" s="57"/>
    </row>
    <row r="10" spans="1:9" ht="18.75" x14ac:dyDescent="0.3">
      <c r="A10" s="54" t="s">
        <v>84</v>
      </c>
      <c r="B10" s="55" t="s">
        <v>64</v>
      </c>
      <c r="C10" s="55">
        <v>0</v>
      </c>
      <c r="H10" s="56"/>
      <c r="I10" s="57"/>
    </row>
    <row r="11" spans="1:9" ht="18.75" x14ac:dyDescent="0.3">
      <c r="A11" s="54" t="s">
        <v>66</v>
      </c>
      <c r="B11" s="55" t="s">
        <v>67</v>
      </c>
      <c r="C11" s="55">
        <v>0</v>
      </c>
      <c r="H11" s="56"/>
      <c r="I11" s="57"/>
    </row>
    <row r="12" spans="1:9" ht="18.75" x14ac:dyDescent="0.3">
      <c r="A12" s="54" t="s">
        <v>65</v>
      </c>
      <c r="B12" s="55" t="s">
        <v>74</v>
      </c>
      <c r="C12" s="55">
        <v>0</v>
      </c>
      <c r="H12" s="56"/>
      <c r="I12" s="57"/>
    </row>
    <row r="13" spans="1:9" ht="18.75" x14ac:dyDescent="0.3">
      <c r="A13" s="54" t="s">
        <v>93</v>
      </c>
      <c r="B13" s="55" t="s">
        <v>92</v>
      </c>
      <c r="C13" s="55">
        <v>0</v>
      </c>
      <c r="H13" s="56"/>
      <c r="I13" s="57"/>
    </row>
    <row r="14" spans="1:9" ht="18.75" x14ac:dyDescent="0.3">
      <c r="A14" s="54" t="s">
        <v>60</v>
      </c>
      <c r="B14" s="55" t="s">
        <v>100</v>
      </c>
      <c r="C14" s="55">
        <v>0</v>
      </c>
      <c r="H14" s="56"/>
      <c r="I14" s="57"/>
    </row>
    <row r="15" spans="1:9" ht="18.75" x14ac:dyDescent="0.3">
      <c r="A15" s="54" t="s">
        <v>68</v>
      </c>
      <c r="B15" s="55" t="s">
        <v>71</v>
      </c>
      <c r="C15" s="55">
        <v>0</v>
      </c>
      <c r="H15" s="56"/>
      <c r="I15" s="57"/>
    </row>
    <row r="16" spans="1:9" ht="18.75" x14ac:dyDescent="0.3">
      <c r="A16" s="54" t="s">
        <v>78</v>
      </c>
      <c r="B16" s="55" t="s">
        <v>77</v>
      </c>
      <c r="C16" s="55">
        <v>0</v>
      </c>
      <c r="H16" s="56"/>
      <c r="I16" s="57"/>
    </row>
    <row r="17" spans="1:9" ht="18.75" x14ac:dyDescent="0.3">
      <c r="A17" s="54" t="s">
        <v>76</v>
      </c>
      <c r="B17" s="55" t="s">
        <v>75</v>
      </c>
      <c r="C17" s="55">
        <v>0</v>
      </c>
      <c r="H17" s="56"/>
      <c r="I17" s="57"/>
    </row>
    <row r="18" spans="1:9" ht="18.75" x14ac:dyDescent="0.3">
      <c r="A18" s="54" t="s">
        <v>63</v>
      </c>
      <c r="B18" s="55" t="s">
        <v>87</v>
      </c>
      <c r="C18" s="55">
        <v>0</v>
      </c>
      <c r="H18" s="56"/>
      <c r="I18" s="57"/>
    </row>
    <row r="19" spans="1:9" ht="18.75" x14ac:dyDescent="0.3">
      <c r="A19" s="54" t="s">
        <v>97</v>
      </c>
      <c r="B19" s="55" t="s">
        <v>96</v>
      </c>
      <c r="C19" s="55">
        <v>0</v>
      </c>
      <c r="H19" s="56"/>
      <c r="I19" s="57"/>
    </row>
    <row r="20" spans="1:9" ht="18.75" x14ac:dyDescent="0.3">
      <c r="A20" s="54" t="s">
        <v>82</v>
      </c>
      <c r="B20" s="55" t="s">
        <v>81</v>
      </c>
      <c r="C20" s="55">
        <v>0</v>
      </c>
      <c r="H20" s="56"/>
      <c r="I20" s="57"/>
    </row>
    <row r="21" spans="1:9" ht="18.75" x14ac:dyDescent="0.3">
      <c r="A21" s="54" t="s">
        <v>72</v>
      </c>
      <c r="B21" s="55" t="s">
        <v>73</v>
      </c>
      <c r="C21" s="55">
        <v>0</v>
      </c>
      <c r="H21" s="56"/>
      <c r="I21" s="57"/>
    </row>
    <row r="22" spans="1:9" ht="18.75" x14ac:dyDescent="0.3">
      <c r="H22" s="56"/>
      <c r="I22" s="57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2026-08-25T14:52:13Z</dcterms:modified>
</cp:coreProperties>
</file>