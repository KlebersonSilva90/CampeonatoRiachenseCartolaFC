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EED5BFB3-BD65-4A8B-A433-A97E4066FC36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 s="1"/>
  <c r="Q153" i="3"/>
  <c r="P153" i="3" s="1"/>
  <c r="O153" i="3"/>
  <c r="N153" i="3"/>
  <c r="D153" i="3"/>
  <c r="C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 s="1"/>
  <c r="Q149" i="3"/>
  <c r="P149" i="3" s="1"/>
  <c r="O149" i="3"/>
  <c r="N149" i="3"/>
  <c r="D149" i="3"/>
  <c r="C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 s="1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/>
  <c r="O132" i="3"/>
  <c r="N132" i="3"/>
  <c r="D132" i="3"/>
  <c r="C132" i="3"/>
  <c r="A132" i="3" s="1"/>
  <c r="B132" i="3" s="1"/>
  <c r="Q131" i="3"/>
  <c r="P131" i="3" s="1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 s="1"/>
  <c r="O128" i="3"/>
  <c r="N128" i="3"/>
  <c r="D128" i="3"/>
  <c r="C128" i="3"/>
  <c r="Q127" i="3"/>
  <c r="P127" i="3"/>
  <c r="O127" i="3"/>
  <c r="N127" i="3"/>
  <c r="D127" i="3"/>
  <c r="C127" i="3"/>
  <c r="A127" i="3" s="1"/>
  <c r="B127" i="3" s="1"/>
  <c r="Q126" i="3"/>
  <c r="P126" i="3" s="1"/>
  <c r="O126" i="3"/>
  <c r="N126" i="3"/>
  <c r="D126" i="3"/>
  <c r="C126" i="3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 s="1"/>
  <c r="O119" i="3"/>
  <c r="N119" i="3"/>
  <c r="D119" i="3"/>
  <c r="C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 s="1"/>
  <c r="O116" i="3"/>
  <c r="N116" i="3"/>
  <c r="D116" i="3"/>
  <c r="C116" i="3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 s="1"/>
  <c r="O105" i="3"/>
  <c r="N105" i="3"/>
  <c r="D105" i="3"/>
  <c r="C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C95" i="3"/>
  <c r="A95" i="3" s="1"/>
  <c r="B95" i="3" s="1"/>
  <c r="Q94" i="3"/>
  <c r="P94" i="3" s="1"/>
  <c r="O94" i="3"/>
  <c r="N94" i="3"/>
  <c r="D94" i="3"/>
  <c r="C94" i="3"/>
  <c r="Q93" i="3"/>
  <c r="P93" i="3"/>
  <c r="O93" i="3"/>
  <c r="N93" i="3"/>
  <c r="D93" i="3"/>
  <c r="C93" i="3"/>
  <c r="A93" i="3" s="1"/>
  <c r="B93" i="3"/>
  <c r="Q92" i="3"/>
  <c r="P92" i="3" s="1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 s="1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 s="1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 s="1"/>
  <c r="Q82" i="3"/>
  <c r="P82" i="3"/>
  <c r="O82" i="3"/>
  <c r="N82" i="3"/>
  <c r="D82" i="3"/>
  <c r="C82" i="3"/>
  <c r="A82" i="3" s="1"/>
  <c r="B82" i="3" s="1"/>
  <c r="Q81" i="3"/>
  <c r="P81" i="3" s="1"/>
  <c r="O81" i="3"/>
  <c r="N81" i="3"/>
  <c r="D81" i="3"/>
  <c r="C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 s="1"/>
  <c r="O78" i="3"/>
  <c r="N78" i="3"/>
  <c r="D78" i="3"/>
  <c r="C78" i="3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 s="1"/>
  <c r="Q72" i="3"/>
  <c r="P72" i="3" s="1"/>
  <c r="O72" i="3"/>
  <c r="N72" i="3"/>
  <c r="D72" i="3"/>
  <c r="AE15" i="3" s="1"/>
  <c r="C72" i="3"/>
  <c r="Q71" i="3"/>
  <c r="P71" i="3"/>
  <c r="O71" i="3"/>
  <c r="N71" i="3"/>
  <c r="D71" i="3"/>
  <c r="C71" i="3"/>
  <c r="A71" i="3" s="1"/>
  <c r="B71" i="3" s="1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 s="1"/>
  <c r="O56" i="3"/>
  <c r="N56" i="3"/>
  <c r="D56" i="3"/>
  <c r="C56" i="3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Q6" i="3"/>
  <c r="P6" i="3"/>
  <c r="O6" i="3"/>
  <c r="N6" i="3"/>
  <c r="D6" i="3"/>
  <c r="C6" i="3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Q3" i="3"/>
  <c r="P3" i="3" s="1"/>
  <c r="O3" i="3"/>
  <c r="N3" i="3"/>
  <c r="D3" i="3"/>
  <c r="C3" i="3"/>
  <c r="A153" i="3" l="1"/>
  <c r="B153" i="3" s="1"/>
  <c r="A149" i="3"/>
  <c r="B149" i="3" s="1"/>
  <c r="A135" i="3"/>
  <c r="B135" i="3" s="1"/>
  <c r="A137" i="3"/>
  <c r="B137" i="3" s="1"/>
  <c r="A144" i="3"/>
  <c r="B144" i="3" s="1"/>
  <c r="A136" i="3"/>
  <c r="B136" i="3" s="1"/>
  <c r="AC21" i="3" s="1"/>
  <c r="A138" i="3"/>
  <c r="B138" i="3" s="1"/>
  <c r="A143" i="3"/>
  <c r="B143" i="3" s="1"/>
  <c r="A126" i="3"/>
  <c r="B126" i="3" s="1"/>
  <c r="A128" i="3"/>
  <c r="B128" i="3" s="1"/>
  <c r="AE19" i="3"/>
  <c r="AD3" i="3"/>
  <c r="A111" i="3"/>
  <c r="B111" i="3" s="1"/>
  <c r="A116" i="3"/>
  <c r="B116" i="3" s="1"/>
  <c r="A119" i="3"/>
  <c r="B119" i="3" s="1"/>
  <c r="A102" i="3"/>
  <c r="B102" i="3" s="1"/>
  <c r="A105" i="3"/>
  <c r="B105" i="3" s="1"/>
  <c r="AE5" i="3"/>
  <c r="A101" i="3"/>
  <c r="B101" i="3" s="1"/>
  <c r="AC12" i="3" s="1"/>
  <c r="A106" i="3"/>
  <c r="B106" i="3" s="1"/>
  <c r="A89" i="3"/>
  <c r="B89" i="3" s="1"/>
  <c r="A94" i="3"/>
  <c r="B94" i="3" s="1"/>
  <c r="AD14" i="3"/>
  <c r="AE12" i="3"/>
  <c r="A78" i="3"/>
  <c r="B78" i="3" s="1"/>
  <c r="A81" i="3"/>
  <c r="B81" i="3" s="1"/>
  <c r="AB22" i="3" s="1"/>
  <c r="AD8" i="3"/>
  <c r="A64" i="3"/>
  <c r="B64" i="3" s="1"/>
  <c r="A67" i="3"/>
  <c r="B67" i="3" s="1"/>
  <c r="A72" i="3"/>
  <c r="B72" i="3" s="1"/>
  <c r="AB15" i="3" s="1"/>
  <c r="AD18" i="3"/>
  <c r="AE13" i="3"/>
  <c r="AD9" i="3"/>
  <c r="A51" i="3"/>
  <c r="B51" i="3" s="1"/>
  <c r="A56" i="3"/>
  <c r="B56" i="3" s="1"/>
  <c r="A59" i="3"/>
  <c r="B59" i="3" s="1"/>
  <c r="AE8" i="3"/>
  <c r="A53" i="3"/>
  <c r="B53" i="3" s="1"/>
  <c r="AA17" i="3" s="1"/>
  <c r="A58" i="3"/>
  <c r="B58" i="3" s="1"/>
  <c r="AE9" i="3"/>
  <c r="AE22" i="3"/>
  <c r="AE3" i="3"/>
  <c r="AD21" i="3"/>
  <c r="AD10" i="3"/>
  <c r="AD6" i="3"/>
  <c r="A40" i="3"/>
  <c r="B40" i="3" s="1"/>
  <c r="A43" i="3"/>
  <c r="B43" i="3" s="1"/>
  <c r="A48" i="3"/>
  <c r="B48" i="3" s="1"/>
  <c r="A28" i="3"/>
  <c r="B28" i="3" s="1"/>
  <c r="A27" i="3"/>
  <c r="B27" i="3" s="1"/>
  <c r="AD4" i="3"/>
  <c r="AE21" i="3"/>
  <c r="AD7" i="3"/>
  <c r="AE6" i="3"/>
  <c r="AE16" i="3"/>
  <c r="A20" i="3"/>
  <c r="B20" i="3" s="1"/>
  <c r="AE17" i="3"/>
  <c r="AE10" i="3"/>
  <c r="AE4" i="3"/>
  <c r="AE18" i="3"/>
  <c r="AE14" i="3"/>
  <c r="AE7" i="3"/>
  <c r="A18" i="3"/>
  <c r="B18" i="3" s="1"/>
  <c r="A22" i="3"/>
  <c r="B22" i="3" s="1"/>
  <c r="AD12" i="3"/>
  <c r="AE11" i="3"/>
  <c r="AD5" i="3"/>
  <c r="AC14" i="3"/>
  <c r="AB14" i="3"/>
  <c r="AA14" i="3"/>
  <c r="AA5" i="3"/>
  <c r="AC5" i="3"/>
  <c r="AB5" i="3"/>
  <c r="AC7" i="3"/>
  <c r="AA7" i="3"/>
  <c r="AB7" i="3"/>
  <c r="AA20" i="3"/>
  <c r="AB20" i="3"/>
  <c r="AC20" i="3"/>
  <c r="AA21" i="3"/>
  <c r="AC15" i="3"/>
  <c r="AC17" i="3"/>
  <c r="AB8" i="3"/>
  <c r="AA8" i="3"/>
  <c r="AA11" i="3"/>
  <c r="AC11" i="3"/>
  <c r="AB11" i="3"/>
  <c r="AA12" i="3"/>
  <c r="AC13" i="3"/>
  <c r="AB13" i="3"/>
  <c r="AA13" i="3"/>
  <c r="AB4" i="3"/>
  <c r="AC4" i="3"/>
  <c r="AA4" i="3"/>
  <c r="AD15" i="3"/>
  <c r="A7" i="3"/>
  <c r="B7" i="3" s="1"/>
  <c r="AD22" i="3"/>
  <c r="A11" i="3"/>
  <c r="B11" i="3" s="1"/>
  <c r="AD17" i="3"/>
  <c r="A3" i="3"/>
  <c r="B3" i="3" s="1"/>
  <c r="A8" i="3"/>
  <c r="B8" i="3" s="1"/>
  <c r="AD20" i="3"/>
  <c r="A12" i="3"/>
  <c r="B12" i="3" s="1"/>
  <c r="AD13" i="3"/>
  <c r="AD16" i="3"/>
  <c r="AD11" i="3"/>
  <c r="A4" i="3"/>
  <c r="B4" i="3" s="1"/>
  <c r="AD19" i="3"/>
  <c r="A9" i="3"/>
  <c r="B9" i="3" s="1"/>
  <c r="AE20" i="3"/>
  <c r="AB21" i="3" l="1"/>
  <c r="Y21" i="3" s="1"/>
  <c r="AF3" i="3"/>
  <c r="AF12" i="3"/>
  <c r="AF5" i="3"/>
  <c r="AB12" i="3"/>
  <c r="Z12" i="3" s="1"/>
  <c r="AC8" i="3"/>
  <c r="Z8" i="3" s="1"/>
  <c r="AF14" i="3"/>
  <c r="AC22" i="3"/>
  <c r="AA22" i="3"/>
  <c r="Y22" i="3" s="1"/>
  <c r="AF8" i="3"/>
  <c r="AF9" i="3"/>
  <c r="AE239" i="3"/>
  <c r="AE252" i="3"/>
  <c r="AD252" i="3"/>
  <c r="AD248" i="3"/>
  <c r="AE247" i="3"/>
  <c r="AE244" i="3"/>
  <c r="AE253" i="3"/>
  <c r="AA15" i="3"/>
  <c r="Y15" i="3" s="1"/>
  <c r="AD241" i="3"/>
  <c r="AB17" i="3"/>
  <c r="Z17" i="3" s="1"/>
  <c r="AF10" i="3"/>
  <c r="AD250" i="3"/>
  <c r="AE242" i="3"/>
  <c r="AE241" i="3"/>
  <c r="AF21" i="3"/>
  <c r="AE250" i="3"/>
  <c r="AF4" i="3"/>
  <c r="AE246" i="3"/>
  <c r="AF6" i="3"/>
  <c r="AF18" i="3"/>
  <c r="AE249" i="3"/>
  <c r="AF7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11" i="3"/>
  <c r="AD257" i="3"/>
  <c r="AF13" i="3"/>
  <c r="Z11" i="3"/>
  <c r="Y11" i="3"/>
  <c r="Z7" i="3"/>
  <c r="Y7" i="3"/>
  <c r="Y14" i="3"/>
  <c r="Z14" i="3"/>
  <c r="AC6" i="3"/>
  <c r="AA6" i="3"/>
  <c r="AB6" i="3"/>
  <c r="AC3" i="3"/>
  <c r="AB3" i="3"/>
  <c r="AA3" i="3"/>
  <c r="AD247" i="3"/>
  <c r="AF20" i="3"/>
  <c r="AD258" i="3"/>
  <c r="AF17" i="3"/>
  <c r="AC18" i="3"/>
  <c r="AA18" i="3"/>
  <c r="AB18" i="3"/>
  <c r="AD243" i="3"/>
  <c r="AF19" i="3"/>
  <c r="AD242" i="3"/>
  <c r="AF15" i="3"/>
  <c r="Z13" i="3"/>
  <c r="Y13" i="3"/>
  <c r="Y12" i="3"/>
  <c r="AF16" i="3"/>
  <c r="AD256" i="3"/>
  <c r="AC9" i="3"/>
  <c r="AA9" i="3"/>
  <c r="AB9" i="3"/>
  <c r="AA19" i="3"/>
  <c r="AB19" i="3"/>
  <c r="AC19" i="3"/>
  <c r="AD246" i="3"/>
  <c r="AF22" i="3"/>
  <c r="Z5" i="3"/>
  <c r="Y5" i="3"/>
  <c r="AA10" i="3"/>
  <c r="AB10" i="3"/>
  <c r="AC10" i="3"/>
  <c r="AA16" i="3"/>
  <c r="AB16" i="3"/>
  <c r="AC16" i="3"/>
  <c r="Y4" i="3"/>
  <c r="Z4" i="3"/>
  <c r="Y8" i="3"/>
  <c r="Z21" i="3"/>
  <c r="Z20" i="3"/>
  <c r="Y20" i="3"/>
  <c r="AA242" i="3" l="1"/>
  <c r="AA241" i="3"/>
  <c r="AF249" i="3"/>
  <c r="Z22" i="3"/>
  <c r="AG22" i="3" s="1"/>
  <c r="AA258" i="3"/>
  <c r="Y17" i="3"/>
  <c r="AC243" i="3"/>
  <c r="AF246" i="3"/>
  <c r="Z15" i="3"/>
  <c r="AG15" i="3" s="1"/>
  <c r="AC251" i="3"/>
  <c r="AA249" i="3"/>
  <c r="AF252" i="3"/>
  <c r="AA245" i="3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A254" i="3"/>
  <c r="Y18" i="3"/>
  <c r="Z18" i="3"/>
  <c r="AG8" i="3"/>
  <c r="AA243" i="3"/>
  <c r="Z19" i="3"/>
  <c r="Z249" i="3" s="1"/>
  <c r="Y19" i="3"/>
  <c r="AG20" i="3"/>
  <c r="AG14" i="3"/>
  <c r="AG7" i="3"/>
  <c r="AA251" i="3"/>
  <c r="Z10" i="3"/>
  <c r="Y10" i="3"/>
  <c r="AA256" i="3"/>
  <c r="Z16" i="3"/>
  <c r="Y16" i="3"/>
  <c r="AG5" i="3"/>
  <c r="AG11" i="3"/>
  <c r="AG4" i="3"/>
  <c r="AG21" i="3"/>
  <c r="AA240" i="3"/>
  <c r="Z9" i="3"/>
  <c r="Y9" i="3"/>
  <c r="AG12" i="3"/>
  <c r="AG17" i="3"/>
  <c r="AA253" i="3"/>
  <c r="Y3" i="3"/>
  <c r="Z3" i="3"/>
  <c r="AA252" i="3"/>
  <c r="Z6" i="3"/>
  <c r="Y6" i="3"/>
  <c r="AG13" i="3"/>
  <c r="Z244" i="3" l="1"/>
  <c r="Z258" i="3"/>
  <c r="Y246" i="3"/>
  <c r="Z246" i="3"/>
  <c r="Y240" i="3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16" i="3"/>
  <c r="AG256" i="3" s="1"/>
  <c r="Z243" i="3"/>
  <c r="AG19" i="3"/>
  <c r="Z254" i="3"/>
  <c r="AG18" i="3"/>
  <c r="Z253" i="3"/>
  <c r="AG3" i="3"/>
  <c r="Z251" i="3"/>
  <c r="AG10" i="3"/>
  <c r="Z252" i="3"/>
  <c r="AG6" i="3"/>
  <c r="Z240" i="3"/>
  <c r="AG9" i="3"/>
  <c r="AG247" i="3" l="1"/>
  <c r="AG240" i="3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<sst xmlns="http://schemas.openxmlformats.org/spreadsheetml/2006/main" count="1180" uniqueCount="107">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</sst>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114300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8" zoomScale="75" zoomScaleNormal="75" workbookViewId="0">
      <selection activeCell="X242" sqref="X242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7" width="3.5703125" style="5" bestFit="1" customWidth="1"/>
    <col min="28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105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6" t="s">
        <v>82</v>
      </c>
      <c r="Y3" s="46">
        <f>SUM((AA3*3)+AB3)</f>
        <v>32</v>
      </c>
      <c r="Z3" s="46">
        <f>SUM(AA3+AB3+AC3)</f>
        <v>13</v>
      </c>
      <c r="AA3" s="46">
        <f>COUNTIFS($G$3:$G$228,X3,$B$3:$B$228,"V")+COUNTIFS($K$3:$K$228,X3,$P$3:$P$228,"V")</f>
        <v>10</v>
      </c>
      <c r="AB3" s="46">
        <f>COUNTIFS($G$3:$G$228,X3,$B$3:$B$228,"E",$H$3:$H$228,"&lt;&gt;"&amp;"")+COUNTIFS($K$3:$K$228,X3,$P$3:$P$228,"E",$J$3:$J$228,"&lt;&gt;"&amp;"")</f>
        <v>2</v>
      </c>
      <c r="AC3" s="46">
        <f>COUNTIFS($G$3:$G$228,X3,$B$3:$B$228,"D")+COUNTIFS($K$3:$K$228,X3,$P$3:$P$228,"D")</f>
        <v>1</v>
      </c>
      <c r="AD3" s="46">
        <f>SUMIFS($C$3:$C$228,$G$3:$G$228,X3)+SUMIFS($O$3:$O$228,$K$3:$K$228,X3)</f>
        <v>1221.74</v>
      </c>
      <c r="AE3" s="46">
        <f>SUMIFS($D$3:$D$228,$G$3:$G$228,X3)+SUMIFS($N$3:$N$228,$K$3:$K$228,X3)</f>
        <v>817.88</v>
      </c>
      <c r="AF3" s="46">
        <f>SUM(AD3-AE3)</f>
        <v>403.86</v>
      </c>
      <c r="AG3" s="20">
        <f>SUM(AD3/Z3)</f>
        <v>93.98</v>
      </c>
    </row>
    <row r="4" spans="1:33" ht="17.25" customHeight="1" x14ac:dyDescent="0.25">
      <c r="A4" s="5">
        <f t="shared" ref="A4:A67" si="0">C4-D4</f>
        <v>14.329999999999998</v>
      </c>
      <c r="B4" s="5" t="str">
        <f t="shared" ref="B4:B12" si="1">_xlfn.IFS(A4&gt;=5,"V",A4&lt;=-5,"D",A4&lt;=-4.99,"E",A4&lt;=4.99,"E")</f>
        <v>V</v>
      </c>
      <c r="C4" s="5">
        <f t="shared" ref="C4:C67" si="2">H4</f>
        <v>101.71</v>
      </c>
      <c r="D4" s="5">
        <f t="shared" ref="D4:D67" si="3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4">H4</f>
        <v>101.71</v>
      </c>
      <c r="O4" s="5">
        <f t="shared" ref="O4:O67" si="5">J4</f>
        <v>87.38</v>
      </c>
      <c r="P4" s="5" t="str">
        <f t="shared" ref="P4:P67" si="6">_xlfn.IFS(Q4&gt;=5,"V",Q4&lt;=-5,"D",Q4&lt;=-4.99,"E",Q4&lt;=4.99,"E")</f>
        <v>D</v>
      </c>
      <c r="Q4" s="5">
        <f t="shared" ref="Q4:Q67" si="7">J4-H4</f>
        <v>-14.329999999999998</v>
      </c>
      <c r="X4" s="7" t="s">
        <v>75</v>
      </c>
      <c r="Y4" s="60">
        <f>SUM((AA4*3)+AB4)</f>
        <v>29</v>
      </c>
      <c r="Z4" s="60">
        <f>SUM(AA4+AB4+AC4)</f>
        <v>13</v>
      </c>
      <c r="AA4" s="60">
        <f>COUNTIFS($G$3:$G$228,X4,$B$3:$B$228,"V")+COUNTIFS($K$3:$K$228,X4,$P$3:$P$228,"V")</f>
        <v>9</v>
      </c>
      <c r="AB4" s="60">
        <f>COUNTIFS($G$3:$G$228,X4,$B$3:$B$228,"E",$H$3:$H$228,"&lt;&gt;"&amp;"")+COUNTIFS($K$3:$K$228,X4,$P$3:$P$228,"E",$J$3:$J$228,"&lt;&gt;"&amp;"")</f>
        <v>2</v>
      </c>
      <c r="AC4" s="60">
        <f>COUNTIFS($G$3:$G$228,X4,$B$3:$B$228,"D")+COUNTIFS($K$3:$K$228,X4,$P$3:$P$228,"D")</f>
        <v>2</v>
      </c>
      <c r="AD4" s="60">
        <f>SUMIFS($C$3:$C$228,$G$3:$G$228,X4)+SUMIFS($O$3:$O$228,$K$3:$K$228,X4)</f>
        <v>1196.71</v>
      </c>
      <c r="AE4" s="60">
        <f>SUMIFS($D$3:$D$228,$G$3:$G$228,X4)+SUMIFS($N$3:$N$228,$K$3:$K$228,X4)</f>
        <v>928.46</v>
      </c>
      <c r="AF4" s="60">
        <f>SUM(AD4-AE4)</f>
        <v>268.25</v>
      </c>
      <c r="AG4" s="21">
        <f>SUM(AD4/Z4)</f>
        <v>92.054615384615389</v>
      </c>
    </row>
    <row r="5" spans="1:33" ht="17.25" customHeight="1" x14ac:dyDescent="0.25">
      <c r="A5" s="5">
        <f t="shared" si="0"/>
        <v>-51.589999999999996</v>
      </c>
      <c r="B5" s="5" t="str">
        <f t="shared" si="1"/>
        <v>D</v>
      </c>
      <c r="C5" s="5">
        <f t="shared" si="2"/>
        <v>49.88</v>
      </c>
      <c r="D5" s="5">
        <f t="shared" si="3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4"/>
        <v>49.88</v>
      </c>
      <c r="O5" s="5">
        <f t="shared" si="5"/>
        <v>101.47</v>
      </c>
      <c r="P5" s="5" t="str">
        <f t="shared" si="6"/>
        <v>V</v>
      </c>
      <c r="Q5" s="5">
        <f t="shared" si="7"/>
        <v>51.589999999999996</v>
      </c>
      <c r="X5" s="7" t="s">
        <v>79</v>
      </c>
      <c r="Y5" s="39">
        <f>SUM((AA5*3)+AB5)</f>
        <v>28</v>
      </c>
      <c r="Z5" s="39">
        <f>SUM(AA5+AB5+AC5)</f>
        <v>13</v>
      </c>
      <c r="AA5" s="39">
        <f>COUNTIFS($G$3:$G$228,X5,$B$3:$B$228,"V")+COUNTIFS($K$3:$K$228,X5,$P$3:$P$228,"V")</f>
        <v>9</v>
      </c>
      <c r="AB5" s="39">
        <f>COUNTIFS($G$3:$G$228,X5,$B$3:$B$228,"E",$H$3:$H$228,"&lt;&gt;"&amp;"")+COUNTIFS($K$3:$K$228,X5,$P$3:$P$228,"E",$J$3:$J$228,"&lt;&gt;"&amp;"")</f>
        <v>1</v>
      </c>
      <c r="AC5" s="39">
        <f>COUNTIFS($G$3:$G$228,X5,$B$3:$B$228,"D")+COUNTIFS($K$3:$K$228,X5,$P$3:$P$228,"D")</f>
        <v>3</v>
      </c>
      <c r="AD5" s="39">
        <f>SUMIFS($C$3:$C$228,$G$3:$G$228,X5)+SUMIFS($O$3:$O$228,$K$3:$K$228,X5)</f>
        <v>1256.2600000000002</v>
      </c>
      <c r="AE5" s="39">
        <f>SUMIFS($D$3:$D$228,$G$3:$G$228,X5)+SUMIFS($N$3:$N$228,$K$3:$K$228,X5)</f>
        <v>745.6</v>
      </c>
      <c r="AF5" s="89">
        <f>SUM(AD5-AE5)</f>
        <v>510.6600000000002</v>
      </c>
      <c r="AG5" s="21">
        <f>SUM(AD5/Z5)</f>
        <v>96.635384615384638</v>
      </c>
    </row>
    <row r="6" spans="1:33" ht="17.25" customHeight="1" x14ac:dyDescent="0.25">
      <c r="A6" s="5">
        <f t="shared" si="0"/>
        <v>-2.0700000000000074</v>
      </c>
      <c r="B6" s="5" t="str">
        <f t="shared" si="1"/>
        <v>E</v>
      </c>
      <c r="C6" s="5">
        <f t="shared" si="2"/>
        <v>96.71</v>
      </c>
      <c r="D6" s="5">
        <f t="shared" si="3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4"/>
        <v>96.71</v>
      </c>
      <c r="O6" s="5">
        <f t="shared" si="5"/>
        <v>98.78</v>
      </c>
      <c r="P6" s="5" t="str">
        <f t="shared" si="6"/>
        <v>E</v>
      </c>
      <c r="Q6" s="5">
        <f t="shared" si="7"/>
        <v>2.0700000000000074</v>
      </c>
      <c r="X6" s="7" t="s">
        <v>87</v>
      </c>
      <c r="Y6" s="43">
        <f>SUM((AA6*3)+AB6)</f>
        <v>28</v>
      </c>
      <c r="Z6" s="43">
        <f>SUM(AA6+AB6+AC6)</f>
        <v>13</v>
      </c>
      <c r="AA6" s="39">
        <f>COUNTIFS($G$3:$G$228,X6,$B$3:$B$228,"V")+COUNTIFS($K$3:$K$228,X6,$P$3:$P$228,"V")</f>
        <v>9</v>
      </c>
      <c r="AB6" s="39">
        <f>COUNTIFS($G$3:$G$228,X6,$B$3:$B$228,"E",$H$3:$H$228,"&lt;&gt;"&amp;"")+COUNTIFS($K$3:$K$228,X6,$P$3:$P$228,"E",$J$3:$J$228,"&lt;&gt;"&amp;"")</f>
        <v>1</v>
      </c>
      <c r="AC6" s="39">
        <f>COUNTIFS($G$3:$G$228,X6,$B$3:$B$228,"D")+COUNTIFS($K$3:$K$228,X6,$P$3:$P$228,"D")</f>
        <v>3</v>
      </c>
      <c r="AD6" s="39">
        <f>SUMIFS($C$3:$C$228,$G$3:$G$228,X6)+SUMIFS($O$3:$O$228,$K$3:$K$228,X6)</f>
        <v>1172.8899999999999</v>
      </c>
      <c r="AE6" s="39">
        <f>SUMIFS($D$3:$D$228,$G$3:$G$228,X6)+SUMIFS($N$3:$N$228,$K$3:$K$228,X6)</f>
        <v>1025.69</v>
      </c>
      <c r="AF6" s="61">
        <f>SUM(AD6-AE6)</f>
        <v>147.19999999999982</v>
      </c>
      <c r="AG6" s="21">
        <f>SUM(AD6/Z6)</f>
        <v>90.22230769230768</v>
      </c>
    </row>
    <row r="7" spans="1:33" ht="17.25" customHeight="1" x14ac:dyDescent="0.25">
      <c r="A7" s="5">
        <f t="shared" si="0"/>
        <v>-14.130000000000003</v>
      </c>
      <c r="B7" s="5" t="str">
        <f t="shared" si="1"/>
        <v>D</v>
      </c>
      <c r="C7" s="5">
        <f t="shared" si="2"/>
        <v>63.93</v>
      </c>
      <c r="D7" s="5">
        <f t="shared" si="3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4"/>
        <v>63.93</v>
      </c>
      <c r="O7" s="5">
        <f t="shared" si="5"/>
        <v>78.06</v>
      </c>
      <c r="P7" s="5" t="str">
        <f t="shared" si="6"/>
        <v>V</v>
      </c>
      <c r="Q7" s="5">
        <f t="shared" si="7"/>
        <v>14.130000000000003</v>
      </c>
      <c r="X7" s="7" t="s">
        <v>74</v>
      </c>
      <c r="Y7" s="60">
        <f>SUM((AA7*3)+AB7)</f>
        <v>25</v>
      </c>
      <c r="Z7" s="60">
        <f>SUM(AA7+AB7+AC7)</f>
        <v>13</v>
      </c>
      <c r="AA7" s="60">
        <f>COUNTIFS($G$3:$G$228,X7,$B$3:$B$228,"V")+COUNTIFS($K$3:$K$228,X7,$P$3:$P$228,"V")</f>
        <v>8</v>
      </c>
      <c r="AB7" s="60">
        <f>COUNTIFS($G$3:$G$228,X7,$B$3:$B$228,"E",$H$3:$H$228,"&lt;&gt;"&amp;"")+COUNTIFS($K$3:$K$228,X7,$P$3:$P$228,"E",$J$3:$J$228,"&lt;&gt;"&amp;"")</f>
        <v>1</v>
      </c>
      <c r="AC7" s="60">
        <f>COUNTIFS($G$3:$G$228,X7,$B$3:$B$228,"D")+COUNTIFS($K$3:$K$228,X7,$P$3:$P$228,"D")</f>
        <v>4</v>
      </c>
      <c r="AD7" s="60">
        <f>SUMIFS($C$3:$C$228,$G$3:$G$228,X7)+SUMIFS($O$3:$O$228,$K$3:$K$228,X7)</f>
        <v>895.18000000000006</v>
      </c>
      <c r="AE7" s="60">
        <f>SUMIFS($D$3:$D$228,$G$3:$G$228,X7)+SUMIFS($N$3:$N$228,$K$3:$K$228,X7)</f>
        <v>912.18</v>
      </c>
      <c r="AF7" s="60">
        <f>SUM(AD7-AE7)</f>
        <v>-16.999999999999886</v>
      </c>
      <c r="AG7" s="21">
        <f>SUM(AD7/Z7)</f>
        <v>68.86</v>
      </c>
    </row>
    <row r="8" spans="1:33" ht="17.25" customHeight="1" x14ac:dyDescent="0.25">
      <c r="A8" s="5">
        <f t="shared" si="0"/>
        <v>97.56</v>
      </c>
      <c r="B8" s="5" t="str">
        <f t="shared" si="1"/>
        <v>V</v>
      </c>
      <c r="C8" s="5">
        <f t="shared" si="2"/>
        <v>97.56</v>
      </c>
      <c r="D8" s="5">
        <f t="shared" si="3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4"/>
        <v>97.56</v>
      </c>
      <c r="O8" s="5">
        <f t="shared" si="5"/>
        <v>0</v>
      </c>
      <c r="P8" s="5" t="str">
        <f t="shared" si="6"/>
        <v>D</v>
      </c>
      <c r="Q8" s="5">
        <f t="shared" si="7"/>
        <v>-97.56</v>
      </c>
      <c r="X8" s="7" t="s">
        <v>69</v>
      </c>
      <c r="Y8" s="39">
        <f>SUM((AA8*3)+AB8)</f>
        <v>24</v>
      </c>
      <c r="Z8" s="39">
        <f>SUM(AA8+AB8+AC8)</f>
        <v>13</v>
      </c>
      <c r="AA8" s="39">
        <f>COUNTIFS($G$3:$G$228,X8,$B$3:$B$228,"V")+COUNTIFS($K$3:$K$228,X8,$P$3:$P$228,"V")</f>
        <v>7</v>
      </c>
      <c r="AB8" s="39">
        <f>COUNTIFS($G$3:$G$228,X8,$B$3:$B$228,"E",$H$3:$H$228,"&lt;&gt;"&amp;"")+COUNTIFS($K$3:$K$228,X8,$P$3:$P$228,"E",$J$3:$J$228,"&lt;&gt;"&amp;"")</f>
        <v>3</v>
      </c>
      <c r="AC8" s="39">
        <f>COUNTIFS($G$3:$G$228,X8,$B$3:$B$228,"D")+COUNTIFS($K$3:$K$228,X8,$P$3:$P$228,"D")</f>
        <v>3</v>
      </c>
      <c r="AD8" s="39">
        <f>SUMIFS($C$3:$C$228,$G$3:$G$228,X8)+SUMIFS($O$3:$O$228,$K$3:$K$228,X8)</f>
        <v>1004.44</v>
      </c>
      <c r="AE8" s="39">
        <f>SUMIFS($D$3:$D$228,$G$3:$G$228,X8)+SUMIFS($N$3:$N$228,$K$3:$K$228,X8)</f>
        <v>862.01</v>
      </c>
      <c r="AF8" s="39">
        <f>SUM(AD8-AE8)</f>
        <v>142.43000000000006</v>
      </c>
      <c r="AG8" s="21">
        <f>SUM(AD8/Z8)</f>
        <v>77.264615384615382</v>
      </c>
    </row>
    <row r="9" spans="1:33" ht="17.25" customHeight="1" x14ac:dyDescent="0.25">
      <c r="A9" s="5">
        <f t="shared" si="0"/>
        <v>13.920000000000002</v>
      </c>
      <c r="B9" s="5" t="str">
        <f t="shared" si="1"/>
        <v>V</v>
      </c>
      <c r="C9" s="5">
        <f t="shared" si="2"/>
        <v>102.03</v>
      </c>
      <c r="D9" s="5">
        <f t="shared" si="3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4"/>
        <v>102.03</v>
      </c>
      <c r="O9" s="5">
        <f t="shared" si="5"/>
        <v>88.11</v>
      </c>
      <c r="P9" s="5" t="str">
        <f t="shared" si="6"/>
        <v>D</v>
      </c>
      <c r="Q9" s="5">
        <f t="shared" si="7"/>
        <v>-13.920000000000002</v>
      </c>
      <c r="X9" s="7" t="s">
        <v>76</v>
      </c>
      <c r="Y9" s="60">
        <f>SUM((AA9*3)+AB9)</f>
        <v>24</v>
      </c>
      <c r="Z9" s="60">
        <f>SUM(AA9+AB9+AC9)</f>
        <v>13</v>
      </c>
      <c r="AA9" s="60">
        <f>COUNTIFS($G$3:$G$228,X9,$B$3:$B$228,"V")+COUNTIFS($K$3:$K$228,X9,$P$3:$P$228,"V")</f>
        <v>7</v>
      </c>
      <c r="AB9" s="60">
        <f>COUNTIFS($G$3:$G$228,X9,$B$3:$B$228,"E",$H$3:$H$228,"&lt;&gt;"&amp;"")+COUNTIFS($K$3:$K$228,X9,$P$3:$P$228,"E",$J$3:$J$228,"&lt;&gt;"&amp;"")</f>
        <v>3</v>
      </c>
      <c r="AC9" s="60">
        <f>COUNTIFS($G$3:$G$228,X9,$B$3:$B$228,"D")+COUNTIFS($K$3:$K$228,X9,$P$3:$P$228,"D")</f>
        <v>3</v>
      </c>
      <c r="AD9" s="60">
        <f>SUMIFS($C$3:$C$228,$G$3:$G$228,X9)+SUMIFS($O$3:$O$228,$K$3:$K$228,X9)</f>
        <v>1112.8699999999999</v>
      </c>
      <c r="AE9" s="60">
        <f>SUMIFS($D$3:$D$228,$G$3:$G$228,X9)+SUMIFS($N$3:$N$228,$K$3:$K$228,X9)</f>
        <v>1006.31</v>
      </c>
      <c r="AF9" s="60">
        <f>SUM(AD9-AE9)</f>
        <v>106.55999999999995</v>
      </c>
      <c r="AG9" s="21">
        <f>SUM(AD9/Z9)</f>
        <v>85.605384615384608</v>
      </c>
    </row>
    <row r="10" spans="1:33" ht="17.25" customHeight="1" x14ac:dyDescent="0.25">
      <c r="A10" s="5">
        <f t="shared" si="0"/>
        <v>17.100000000000009</v>
      </c>
      <c r="B10" s="5" t="str">
        <f t="shared" si="1"/>
        <v>V</v>
      </c>
      <c r="C10" s="5">
        <f t="shared" si="2"/>
        <v>74.680000000000007</v>
      </c>
      <c r="D10" s="5">
        <f t="shared" si="3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106</v>
      </c>
      <c r="L10" s="45" t="s">
        <v>70</v>
      </c>
      <c r="M10" s="4"/>
      <c r="N10" s="5">
        <f t="shared" si="4"/>
        <v>74.680000000000007</v>
      </c>
      <c r="O10" s="5">
        <f t="shared" si="5"/>
        <v>57.58</v>
      </c>
      <c r="P10" s="5" t="str">
        <f t="shared" si="6"/>
        <v>D</v>
      </c>
      <c r="Q10" s="5">
        <f t="shared" si="7"/>
        <v>-17.100000000000009</v>
      </c>
      <c r="X10" s="7" t="s">
        <v>61</v>
      </c>
      <c r="Y10" s="60">
        <f>SUM((AA10*3)+AB10)</f>
        <v>22</v>
      </c>
      <c r="Z10" s="60">
        <f>SUM(AA10+AB10+AC10)</f>
        <v>13</v>
      </c>
      <c r="AA10" s="60">
        <f>COUNTIFS($G$3:$G$228,X10,$B$3:$B$228,"V")+COUNTIFS($K$3:$K$228,X10,$P$3:$P$228,"V")</f>
        <v>7</v>
      </c>
      <c r="AB10" s="60">
        <f>COUNTIFS($G$3:$G$228,X10,$B$3:$B$228,"E",$H$3:$H$228,"&lt;&gt;"&amp;"")+COUNTIFS($K$3:$K$228,X10,$P$3:$P$228,"E",$J$3:$J$228,"&lt;&gt;"&amp;"")</f>
        <v>1</v>
      </c>
      <c r="AC10" s="60">
        <f>COUNTIFS($G$3:$G$228,X10,$B$3:$B$228,"D")+COUNTIFS($K$3:$K$228,X10,$P$3:$P$228,"D")</f>
        <v>5</v>
      </c>
      <c r="AD10" s="60">
        <f>SUMIFS($C$3:$C$228,$G$3:$G$228,X10)+SUMIFS($O$3:$O$228,$K$3:$K$228,X10)</f>
        <v>979.41000000000008</v>
      </c>
      <c r="AE10" s="60">
        <f>SUMIFS($D$3:$D$228,$G$3:$G$228,X10)+SUMIFS($N$3:$N$228,$K$3:$K$228,X10)</f>
        <v>721.8599999999999</v>
      </c>
      <c r="AF10" s="60">
        <f>SUM(AD10-AE10)</f>
        <v>257.55000000000018</v>
      </c>
      <c r="AG10" s="21">
        <f>SUM(AD10/Z10)</f>
        <v>75.339230769230781</v>
      </c>
    </row>
    <row r="11" spans="1:33" ht="17.25" customHeight="1" x14ac:dyDescent="0.25">
      <c r="A11" s="5">
        <f t="shared" si="0"/>
        <v>-60.66</v>
      </c>
      <c r="B11" s="5" t="str">
        <f t="shared" si="1"/>
        <v>D</v>
      </c>
      <c r="C11" s="5">
        <f t="shared" si="2"/>
        <v>65.650000000000006</v>
      </c>
      <c r="D11" s="5">
        <f t="shared" si="3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104</v>
      </c>
      <c r="M11" s="4"/>
      <c r="N11" s="5">
        <f t="shared" si="4"/>
        <v>65.650000000000006</v>
      </c>
      <c r="O11" s="5">
        <f t="shared" si="5"/>
        <v>126.31</v>
      </c>
      <c r="P11" s="5" t="str">
        <f t="shared" si="6"/>
        <v>V</v>
      </c>
      <c r="Q11" s="5">
        <f t="shared" si="7"/>
        <v>60.66</v>
      </c>
      <c r="X11" s="7" t="s">
        <v>88</v>
      </c>
      <c r="Y11" s="61">
        <f>SUM((AA11*3)+AB11)</f>
        <v>22</v>
      </c>
      <c r="Z11" s="61">
        <f>SUM(AA11+AB11+AC11)</f>
        <v>13</v>
      </c>
      <c r="AA11" s="60">
        <f>COUNTIFS($G$3:$G$228,X11,$B$3:$B$228,"V")+COUNTIFS($K$3:$K$228,X11,$P$3:$P$228,"V")</f>
        <v>7</v>
      </c>
      <c r="AB11" s="60">
        <f>COUNTIFS($G$3:$G$228,X11,$B$3:$B$228,"E",$H$3:$H$228,"&lt;&gt;"&amp;"")+COUNTIFS($K$3:$K$228,X11,$P$3:$P$228,"E",$J$3:$J$228,"&lt;&gt;"&amp;"")</f>
        <v>1</v>
      </c>
      <c r="AC11" s="60">
        <f>COUNTIFS($G$3:$G$228,X11,$B$3:$B$228,"D")+COUNTIFS($K$3:$K$228,X11,$P$3:$P$228,"D")</f>
        <v>5</v>
      </c>
      <c r="AD11" s="60">
        <f>SUMIFS($C$3:$C$228,$G$3:$G$228,X11)+SUMIFS($O$3:$O$228,$K$3:$K$228,X11)</f>
        <v>1031.3600000000001</v>
      </c>
      <c r="AE11" s="60">
        <f>SUMIFS($D$3:$D$228,$G$3:$G$228,X11)+SUMIFS($N$3:$N$228,$K$3:$K$228,X11)</f>
        <v>938.16</v>
      </c>
      <c r="AF11" s="61">
        <f>SUM(AD11-AE11)</f>
        <v>93.200000000000159</v>
      </c>
      <c r="AG11" s="21">
        <f>SUM(AD11/Z11)</f>
        <v>79.335384615384626</v>
      </c>
    </row>
    <row r="12" spans="1:33" ht="17.25" customHeight="1" x14ac:dyDescent="0.25">
      <c r="A12" s="5">
        <f t="shared" si="0"/>
        <v>-3.2999999999999972</v>
      </c>
      <c r="B12" s="5" t="str">
        <f t="shared" si="1"/>
        <v>E</v>
      </c>
      <c r="C12" s="5">
        <f t="shared" si="2"/>
        <v>94.01</v>
      </c>
      <c r="D12" s="5">
        <f t="shared" si="3"/>
        <v>97.31</v>
      </c>
      <c r="E12" s="4"/>
      <c r="F12" s="45" t="s">
        <v>93</v>
      </c>
      <c r="G12" s="2" t="s">
        <v>76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4"/>
        <v>94.01</v>
      </c>
      <c r="O12" s="5">
        <f t="shared" si="5"/>
        <v>97.31</v>
      </c>
      <c r="P12" s="5" t="str">
        <f t="shared" si="6"/>
        <v>E</v>
      </c>
      <c r="Q12" s="5">
        <f t="shared" si="7"/>
        <v>3.2999999999999972</v>
      </c>
      <c r="X12" s="7" t="s">
        <v>84</v>
      </c>
      <c r="Y12" s="39">
        <f>SUM((AA12*3)+AB12)</f>
        <v>20</v>
      </c>
      <c r="Z12" s="39">
        <f>SUM(AA12+AB12+AC12)</f>
        <v>13</v>
      </c>
      <c r="AA12" s="39">
        <f>COUNTIFS($G$3:$G$228,X12,$B$3:$B$228,"V")+COUNTIFS($K$3:$K$228,X12,$P$3:$P$228,"V")</f>
        <v>6</v>
      </c>
      <c r="AB12" s="39">
        <f>COUNTIFS($G$3:$G$228,X12,$B$3:$B$228,"E",$H$3:$H$228,"&lt;&gt;"&amp;"")+COUNTIFS($K$3:$K$228,X12,$P$3:$P$228,"E",$J$3:$J$228,"&lt;&gt;"&amp;"")</f>
        <v>2</v>
      </c>
      <c r="AC12" s="39">
        <f>COUNTIFS($G$3:$G$228,X12,$B$3:$B$228,"D")+COUNTIFS($K$3:$K$228,X12,$P$3:$P$228,"D")</f>
        <v>5</v>
      </c>
      <c r="AD12" s="39">
        <f>SUMIFS($C$3:$C$228,$G$3:$G$228,X12)+SUMIFS($O$3:$O$228,$K$3:$K$228,X12)</f>
        <v>950.45</v>
      </c>
      <c r="AE12" s="39">
        <f>SUMIFS($D$3:$D$228,$G$3:$G$228,X12)+SUMIFS($N$3:$N$228,$K$3:$K$228,X12)</f>
        <v>914.03</v>
      </c>
      <c r="AF12" s="39">
        <f>SUM(AD12-AE12)</f>
        <v>36.420000000000073</v>
      </c>
      <c r="AG12" s="21">
        <f>SUM(AD12/Z12)</f>
        <v>73.111538461538458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87" t="s">
        <v>86</v>
      </c>
      <c r="Y13" s="60">
        <f>SUM((AA13*3)+AB13)</f>
        <v>19</v>
      </c>
      <c r="Z13" s="60">
        <f>SUM(AA13+AB13+AC13)</f>
        <v>13</v>
      </c>
      <c r="AA13" s="60">
        <f>COUNTIFS($G$3:$G$228,X13,$B$3:$B$228,"V")+COUNTIFS($K$3:$K$228,X13,$P$3:$P$228,"V")</f>
        <v>6</v>
      </c>
      <c r="AB13" s="60">
        <f>COUNTIFS($G$3:$G$228,X13,$B$3:$B$228,"E",$H$3:$H$228,"&lt;&gt;"&amp;"")+COUNTIFS($K$3:$K$228,X13,$P$3:$P$228,"E",$J$3:$J$228,"&lt;&gt;"&amp;"")</f>
        <v>1</v>
      </c>
      <c r="AC13" s="60">
        <f>COUNTIFS($G$3:$G$228,X13,$B$3:$B$228,"D")+COUNTIFS($K$3:$K$228,X13,$P$3:$P$228,"D")</f>
        <v>6</v>
      </c>
      <c r="AD13" s="60">
        <f>SUMIFS($C$3:$C$228,$G$3:$G$228,X13)+SUMIFS($O$3:$O$228,$K$3:$K$228,X13)</f>
        <v>775.41000000000008</v>
      </c>
      <c r="AE13" s="60">
        <f>SUMIFS($D$3:$D$228,$G$3:$G$228,X13)+SUMIFS($N$3:$N$228,$K$3:$K$228,X13)</f>
        <v>895.09999999999991</v>
      </c>
      <c r="AF13" s="60">
        <f>SUM(AD13-AE13)</f>
        <v>-119.68999999999983</v>
      </c>
      <c r="AG13" s="21">
        <f>SUM(AD13/Z13)</f>
        <v>59.64692307692308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62</v>
      </c>
      <c r="Y14" s="43">
        <f>SUM((AA14*3)+AB14)</f>
        <v>18</v>
      </c>
      <c r="Z14" s="43">
        <f>SUM(AA14+AB14+AC14)</f>
        <v>13</v>
      </c>
      <c r="AA14" s="39">
        <f>COUNTIFS($G$3:$G$228,X14,$B$3:$B$228,"V")+COUNTIFS($K$3:$K$228,X14,$P$3:$P$228,"V")</f>
        <v>5</v>
      </c>
      <c r="AB14" s="39">
        <f>COUNTIFS($G$3:$G$228,X14,$B$3:$B$228,"E",$H$3:$H$228,"&lt;&gt;"&amp;"")+COUNTIFS($K$3:$K$228,X14,$P$3:$P$228,"E",$J$3:$J$228,"&lt;&gt;"&amp;"")</f>
        <v>3</v>
      </c>
      <c r="AC14" s="39">
        <f>COUNTIFS($G$3:$G$228,X14,$B$3:$B$228,"D")+COUNTIFS($K$3:$K$228,X14,$P$3:$P$228,"D")</f>
        <v>5</v>
      </c>
      <c r="AD14" s="39">
        <f>SUMIFS($C$3:$C$228,$G$3:$G$228,X14)+SUMIFS($O$3:$O$228,$K$3:$K$228,X14)</f>
        <v>982.39999999999986</v>
      </c>
      <c r="AE14" s="39">
        <f>SUMIFS($D$3:$D$228,$G$3:$G$228,X14)+SUMIFS($N$3:$N$228,$K$3:$K$228,X14)</f>
        <v>882.11999999999989</v>
      </c>
      <c r="AF14" s="43">
        <f>SUM(AD14-AE14)</f>
        <v>100.27999999999997</v>
      </c>
      <c r="AG14" s="21">
        <f>SUM(AD14/Z14)</f>
        <v>75.569230769230757</v>
      </c>
    </row>
    <row r="15" spans="1:33" ht="17.25" customHeight="1" x14ac:dyDescent="0.25">
      <c r="A15" s="5">
        <f t="shared" si="0"/>
        <v>19.160000000000004</v>
      </c>
      <c r="B15" s="5" t="str">
        <f t="shared" ref="B15:B78" si="8">_xlfn.IFS(A15&gt;=5,"V",A15&lt;=-5,"D",A15&lt;=-4.99,"E",A15&lt;=4.99,"E")</f>
        <v>V</v>
      </c>
      <c r="C15" s="5">
        <f t="shared" si="2"/>
        <v>74.010000000000005</v>
      </c>
      <c r="D15" s="5">
        <f t="shared" si="3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4"/>
        <v>74.010000000000005</v>
      </c>
      <c r="O15" s="5">
        <f t="shared" si="5"/>
        <v>54.85</v>
      </c>
      <c r="P15" s="5" t="str">
        <f t="shared" si="6"/>
        <v>D</v>
      </c>
      <c r="Q15" s="5">
        <f t="shared" si="7"/>
        <v>-19.160000000000004</v>
      </c>
      <c r="X15" s="7" t="s">
        <v>66</v>
      </c>
      <c r="Y15" s="39">
        <f>SUM((AA15*3)+AB15)</f>
        <v>16</v>
      </c>
      <c r="Z15" s="39">
        <f>SUM(AA15+AB15+AC15)</f>
        <v>13</v>
      </c>
      <c r="AA15" s="39">
        <f>COUNTIFS($G$3:$G$228,X15,$B$3:$B$228,"V")+COUNTIFS($K$3:$K$228,X15,$P$3:$P$228,"V")</f>
        <v>4</v>
      </c>
      <c r="AB15" s="39">
        <f>COUNTIFS($G$3:$G$228,X15,$B$3:$B$228,"E",$H$3:$H$228,"&lt;&gt;"&amp;"")+COUNTIFS($K$3:$K$228,X15,$P$3:$P$228,"E",$J$3:$J$228,"&lt;&gt;"&amp;"")</f>
        <v>4</v>
      </c>
      <c r="AC15" s="39">
        <f>COUNTIFS($G$3:$G$228,X15,$B$3:$B$228,"D")+COUNTIFS($K$3:$K$228,X15,$P$3:$P$228,"D")</f>
        <v>5</v>
      </c>
      <c r="AD15" s="39">
        <f>SUMIFS($C$3:$C$228,$G$3:$G$228,X15)+SUMIFS($O$3:$O$228,$K$3:$K$228,X15)</f>
        <v>1000.26</v>
      </c>
      <c r="AE15" s="39">
        <f>SUMIFS($D$3:$D$228,$G$3:$G$228,X15)+SUMIFS($N$3:$N$228,$K$3:$K$228,X15)</f>
        <v>1014.41</v>
      </c>
      <c r="AF15" s="39">
        <f>SUM(AD15-AE15)</f>
        <v>-14.149999999999977</v>
      </c>
      <c r="AG15" s="21">
        <f>SUM(AD15/Z15)</f>
        <v>76.943076923076916</v>
      </c>
    </row>
    <row r="16" spans="1:33" ht="17.25" customHeight="1" x14ac:dyDescent="0.25">
      <c r="A16" s="5">
        <f t="shared" si="0"/>
        <v>-6.0899999999999892</v>
      </c>
      <c r="B16" s="5" t="str">
        <f t="shared" si="8"/>
        <v>D</v>
      </c>
      <c r="C16" s="5">
        <f t="shared" si="2"/>
        <v>75.540000000000006</v>
      </c>
      <c r="D16" s="5">
        <f t="shared" si="3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4"/>
        <v>75.540000000000006</v>
      </c>
      <c r="O16" s="5">
        <f t="shared" si="5"/>
        <v>81.63</v>
      </c>
      <c r="P16" s="5" t="str">
        <f t="shared" si="6"/>
        <v>V</v>
      </c>
      <c r="Q16" s="5">
        <f t="shared" si="7"/>
        <v>6.0899999999999892</v>
      </c>
      <c r="X16" s="7" t="s">
        <v>71</v>
      </c>
      <c r="Y16" s="60">
        <f>SUM((AA16*3)+AB16)</f>
        <v>13</v>
      </c>
      <c r="Z16" s="60">
        <f>SUM(AA16+AB16+AC16)</f>
        <v>13</v>
      </c>
      <c r="AA16" s="60">
        <f>COUNTIFS($G$3:$G$228,X16,$B$3:$B$228,"V")+COUNTIFS($K$3:$K$228,X16,$P$3:$P$228,"V")</f>
        <v>4</v>
      </c>
      <c r="AB16" s="60">
        <f>COUNTIFS($G$3:$G$228,X16,$B$3:$B$228,"E",$H$3:$H$228,"&lt;&gt;"&amp;"")+COUNTIFS($K$3:$K$228,X16,$P$3:$P$228,"E",$J$3:$J$228,"&lt;&gt;"&amp;"")</f>
        <v>1</v>
      </c>
      <c r="AC16" s="60">
        <f>COUNTIFS($G$3:$G$228,X16,$B$3:$B$228,"D")+COUNTIFS($K$3:$K$228,X16,$P$3:$P$228,"D")</f>
        <v>8</v>
      </c>
      <c r="AD16" s="60">
        <f>SUMIFS($C$3:$C$228,$G$3:$G$228,X16)+SUMIFS($O$3:$O$228,$K$3:$K$228,X16)</f>
        <v>940.81</v>
      </c>
      <c r="AE16" s="60">
        <f>SUMIFS($D$3:$D$228,$G$3:$G$228,X16)+SUMIFS($N$3:$N$228,$K$3:$K$228,X16)</f>
        <v>1107.0999999999999</v>
      </c>
      <c r="AF16" s="60">
        <f>SUM(AD16-AE16)</f>
        <v>-166.28999999999996</v>
      </c>
      <c r="AG16" s="21">
        <f>SUM(AD16/Z16)</f>
        <v>72.36999999999999</v>
      </c>
    </row>
    <row r="17" spans="1:33" ht="17.25" customHeight="1" x14ac:dyDescent="0.25">
      <c r="A17" s="5">
        <f t="shared" si="0"/>
        <v>28.5</v>
      </c>
      <c r="B17" s="5" t="str">
        <f t="shared" si="8"/>
        <v>V</v>
      </c>
      <c r="C17" s="5">
        <f t="shared" si="2"/>
        <v>84.66</v>
      </c>
      <c r="D17" s="5">
        <f t="shared" si="3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4"/>
        <v>84.66</v>
      </c>
      <c r="O17" s="5">
        <f t="shared" si="5"/>
        <v>56.16</v>
      </c>
      <c r="P17" s="5" t="str">
        <f t="shared" si="6"/>
        <v>D</v>
      </c>
      <c r="Q17" s="5">
        <f t="shared" si="7"/>
        <v>-28.5</v>
      </c>
      <c r="X17" s="7" t="s">
        <v>81</v>
      </c>
      <c r="Y17" s="60">
        <f>SUM((AA17*3)+AB17)</f>
        <v>12</v>
      </c>
      <c r="Z17" s="60">
        <f>SUM(AA17+AB17+AC17)</f>
        <v>13</v>
      </c>
      <c r="AA17" s="60">
        <f>COUNTIFS($G$3:$G$228,X17,$B$3:$B$228,"V")+COUNTIFS($K$3:$K$228,X17,$P$3:$P$228,"V")</f>
        <v>4</v>
      </c>
      <c r="AB17" s="60">
        <f>COUNTIFS($G$3:$G$228,X17,$B$3:$B$228,"E",$H$3:$H$228,"&lt;&gt;"&amp;"")+COUNTIFS($K$3:$K$228,X17,$P$3:$P$228,"E",$J$3:$J$228,"&lt;&gt;"&amp;"")</f>
        <v>0</v>
      </c>
      <c r="AC17" s="60">
        <f>COUNTIFS($G$3:$G$228,X17,$B$3:$B$228,"D")+COUNTIFS($K$3:$K$228,X17,$P$3:$P$228,"D")</f>
        <v>9</v>
      </c>
      <c r="AD17" s="60">
        <f>SUMIFS($C$3:$C$228,$G$3:$G$228,X17)+SUMIFS($O$3:$O$228,$K$3:$K$228,X17)</f>
        <v>758.37000000000012</v>
      </c>
      <c r="AE17" s="60">
        <f>SUMIFS($D$3:$D$228,$G$3:$G$228,X17)+SUMIFS($N$3:$N$228,$K$3:$K$228,X17)</f>
        <v>965.16</v>
      </c>
      <c r="AF17" s="60">
        <f>SUM(AD17-AE17)</f>
        <v>-206.78999999999985</v>
      </c>
      <c r="AG17" s="21">
        <f>SUM(AD17/Z17)</f>
        <v>58.336153846153856</v>
      </c>
    </row>
    <row r="18" spans="1:33" ht="17.25" customHeight="1" x14ac:dyDescent="0.25">
      <c r="A18" s="5">
        <f t="shared" si="0"/>
        <v>-15.979999999999997</v>
      </c>
      <c r="B18" s="5" t="str">
        <f t="shared" si="8"/>
        <v>D</v>
      </c>
      <c r="C18" s="5">
        <f t="shared" si="2"/>
        <v>60.73</v>
      </c>
      <c r="D18" s="5">
        <f t="shared" si="3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4"/>
        <v>60.73</v>
      </c>
      <c r="O18" s="5">
        <f t="shared" si="5"/>
        <v>76.709999999999994</v>
      </c>
      <c r="P18" s="5" t="str">
        <f t="shared" si="6"/>
        <v>V</v>
      </c>
      <c r="Q18" s="5">
        <f t="shared" si="7"/>
        <v>15.979999999999997</v>
      </c>
      <c r="X18" s="7" t="s">
        <v>64</v>
      </c>
      <c r="Y18" s="39">
        <f>SUM((AA18*3)+AB18)</f>
        <v>11</v>
      </c>
      <c r="Z18" s="39">
        <f>SUM(AA18+AB18+AC18)</f>
        <v>13</v>
      </c>
      <c r="AA18" s="39">
        <f>COUNTIFS($G$3:$G$228,X18,$B$3:$B$228,"V")+COUNTIFS($K$3:$K$228,X18,$P$3:$P$228,"V")</f>
        <v>3</v>
      </c>
      <c r="AB18" s="39">
        <f>COUNTIFS($G$3:$G$228,X18,$B$3:$B$228,"E",$H$3:$H$228,"&lt;&gt;"&amp;"")+COUNTIFS($K$3:$K$228,X18,$P$3:$P$228,"E",$J$3:$J$228,"&lt;&gt;"&amp;"")</f>
        <v>2</v>
      </c>
      <c r="AC18" s="39">
        <f>COUNTIFS($G$3:$G$228,X18,$B$3:$B$228,"D")+COUNTIFS($K$3:$K$228,X18,$P$3:$P$228,"D")</f>
        <v>8</v>
      </c>
      <c r="AD18" s="39">
        <f>SUMIFS($C$3:$C$228,$G$3:$G$228,X18)+SUMIFS($O$3:$O$228,$K$3:$K$228,X18)</f>
        <v>907.98</v>
      </c>
      <c r="AE18" s="39">
        <f>SUMIFS($D$3:$D$228,$G$3:$G$228,X18)+SUMIFS($N$3:$N$228,$K$3:$K$228,X18)</f>
        <v>1027.25</v>
      </c>
      <c r="AF18" s="39">
        <f>SUM(AD18-AE18)</f>
        <v>-119.26999999999998</v>
      </c>
      <c r="AG18" s="21">
        <f>SUM(AD18/Z18)</f>
        <v>69.844615384615381</v>
      </c>
    </row>
    <row r="19" spans="1:33" ht="17.25" customHeight="1" x14ac:dyDescent="0.25">
      <c r="A19" s="5">
        <f t="shared" si="0"/>
        <v>37.69</v>
      </c>
      <c r="B19" s="5" t="str">
        <f t="shared" si="8"/>
        <v>V</v>
      </c>
      <c r="C19" s="5">
        <f t="shared" si="2"/>
        <v>96</v>
      </c>
      <c r="D19" s="5">
        <f t="shared" si="3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4"/>
        <v>96</v>
      </c>
      <c r="O19" s="5">
        <f t="shared" si="5"/>
        <v>58.31</v>
      </c>
      <c r="P19" s="5" t="str">
        <f t="shared" si="6"/>
        <v>D</v>
      </c>
      <c r="Q19" s="5">
        <f t="shared" si="7"/>
        <v>-37.69</v>
      </c>
      <c r="X19" s="7" t="s">
        <v>80</v>
      </c>
      <c r="Y19" s="39">
        <f>SUM((AA19*3)+AB19)</f>
        <v>10</v>
      </c>
      <c r="Z19" s="39">
        <f>SUM(AA19+AB19+AC19)</f>
        <v>13</v>
      </c>
      <c r="AA19" s="39">
        <f>COUNTIFS($G$3:$G$228,X19,$B$3:$B$228,"V")+COUNTIFS($K$3:$K$228,X19,$P$3:$P$228,"V")</f>
        <v>3</v>
      </c>
      <c r="AB19" s="39">
        <f>COUNTIFS($G$3:$G$228,X19,$B$3:$B$228,"E",$H$3:$H$228,"&lt;&gt;"&amp;"")+COUNTIFS($K$3:$K$228,X19,$P$3:$P$228,"E",$J$3:$J$228,"&lt;&gt;"&amp;"")</f>
        <v>1</v>
      </c>
      <c r="AC19" s="39">
        <f>COUNTIFS($G$3:$G$228,X19,$B$3:$B$228,"D")+COUNTIFS($K$3:$K$228,X19,$P$3:$P$228,"D")</f>
        <v>9</v>
      </c>
      <c r="AD19" s="39">
        <f>SUMIFS($C$3:$C$228,$G$3:$G$228,X19)+SUMIFS($O$3:$O$228,$K$3:$K$228,X19)</f>
        <v>684.29</v>
      </c>
      <c r="AE19" s="39">
        <f>SUMIFS($D$3:$D$228,$G$3:$G$228,X19)+SUMIFS($N$3:$N$228,$K$3:$K$228,X19)</f>
        <v>951.26</v>
      </c>
      <c r="AF19" s="39">
        <f>SUM(AD19-AE19)</f>
        <v>-266.97000000000003</v>
      </c>
      <c r="AG19" s="21">
        <f>SUM(AD19/Z19)</f>
        <v>52.637692307692305</v>
      </c>
    </row>
    <row r="20" spans="1:33" ht="17.25" customHeight="1" x14ac:dyDescent="0.25">
      <c r="A20" s="5">
        <f t="shared" si="0"/>
        <v>-36.539999999999992</v>
      </c>
      <c r="B20" s="5" t="str">
        <f t="shared" si="8"/>
        <v>D</v>
      </c>
      <c r="C20" s="5">
        <f t="shared" si="2"/>
        <v>46.84</v>
      </c>
      <c r="D20" s="5">
        <f t="shared" si="3"/>
        <v>83.38</v>
      </c>
      <c r="E20" s="4"/>
      <c r="F20" s="45" t="s">
        <v>70</v>
      </c>
      <c r="G20" s="2" t="s">
        <v>106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4"/>
        <v>46.84</v>
      </c>
      <c r="O20" s="5">
        <f t="shared" si="5"/>
        <v>83.38</v>
      </c>
      <c r="P20" s="5" t="str">
        <f t="shared" si="6"/>
        <v>V</v>
      </c>
      <c r="Q20" s="5">
        <f t="shared" si="7"/>
        <v>36.539999999999992</v>
      </c>
      <c r="X20" s="7" t="s">
        <v>106</v>
      </c>
      <c r="Y20" s="43">
        <f>SUM((AA20*3)+AB20)</f>
        <v>8</v>
      </c>
      <c r="Z20" s="43">
        <f>SUM(AA20+AB20+AC20)</f>
        <v>13</v>
      </c>
      <c r="AA20" s="39">
        <f>COUNTIFS($G$3:$G$228,X20,$B$3:$B$228,"V")+COUNTIFS($K$3:$K$228,X20,$P$3:$P$228,"V")</f>
        <v>2</v>
      </c>
      <c r="AB20" s="39">
        <f>COUNTIFS($G$3:$G$228,X20,$B$3:$B$228,"E",$H$3:$H$228,"&lt;&gt;"&amp;"")+COUNTIFS($K$3:$K$228,X20,$P$3:$P$228,"E",$J$3:$J$228,"&lt;&gt;"&amp;"")</f>
        <v>2</v>
      </c>
      <c r="AC20" s="39">
        <f>COUNTIFS($G$3:$G$228,X20,$B$3:$B$228,"D")+COUNTIFS($K$3:$K$228,X20,$P$3:$P$228,"D")</f>
        <v>9</v>
      </c>
      <c r="AD20" s="39">
        <f>SUMIFS($C$3:$C$228,$G$3:$G$228,X20)+SUMIFS($O$3:$O$228,$K$3:$K$228,X20)</f>
        <v>741.96</v>
      </c>
      <c r="AE20" s="39">
        <f>SUMIFS($D$3:$D$228,$G$3:$G$228,X20)+SUMIFS($N$3:$N$228,$K$3:$K$228,X20)</f>
        <v>1015.27</v>
      </c>
      <c r="AF20" s="43">
        <f>SUM(AD20-AE20)</f>
        <v>-273.30999999999995</v>
      </c>
      <c r="AG20" s="21">
        <f>SUM(AD20/Z20)</f>
        <v>57.073846153846155</v>
      </c>
    </row>
    <row r="21" spans="1:33" ht="17.25" customHeight="1" x14ac:dyDescent="0.25">
      <c r="A21" s="5">
        <f t="shared" si="0"/>
        <v>4.2499999999999929</v>
      </c>
      <c r="B21" s="5" t="str">
        <f t="shared" si="8"/>
        <v>E</v>
      </c>
      <c r="C21" s="5">
        <f t="shared" si="2"/>
        <v>66.709999999999994</v>
      </c>
      <c r="D21" s="5">
        <f t="shared" si="3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4"/>
        <v>66.709999999999994</v>
      </c>
      <c r="O21" s="5">
        <f t="shared" si="5"/>
        <v>62.46</v>
      </c>
      <c r="P21" s="5" t="str">
        <f t="shared" si="6"/>
        <v>E</v>
      </c>
      <c r="Q21" s="5">
        <f t="shared" si="7"/>
        <v>-4.2499999999999929</v>
      </c>
      <c r="X21" s="7" t="s">
        <v>77</v>
      </c>
      <c r="Y21" s="60">
        <f>SUM((AA21*3)+AB21)</f>
        <v>6</v>
      </c>
      <c r="Z21" s="60">
        <f>SUM(AA21+AB21+AC21)</f>
        <v>13</v>
      </c>
      <c r="AA21" s="60">
        <f>COUNTIFS($G$3:$G$228,X21,$B$3:$B$228,"V")+COUNTIFS($K$3:$K$228,X21,$P$3:$P$228,"V")</f>
        <v>2</v>
      </c>
      <c r="AB21" s="60">
        <f>COUNTIFS($G$3:$G$228,X21,$B$3:$B$228,"E",$H$3:$H$228,"&lt;&gt;"&amp;"")+COUNTIFS($K$3:$K$228,X21,$P$3:$P$228,"E",$J$3:$J$228,"&lt;&gt;"&amp;"")</f>
        <v>0</v>
      </c>
      <c r="AC21" s="60">
        <f>COUNTIFS($G$3:$G$228,X21,$B$3:$B$228,"D")+COUNTIFS($K$3:$K$228,X21,$P$3:$P$228,"D")</f>
        <v>11</v>
      </c>
      <c r="AD21" s="60">
        <f>SUMIFS($C$3:$C$228,$G$3:$G$228,X21)+SUMIFS($O$3:$O$228,$K$3:$K$228,X21)</f>
        <v>493.65999999999997</v>
      </c>
      <c r="AE21" s="60">
        <f>SUMIFS($D$3:$D$228,$G$3:$G$228,X21)+SUMIFS($N$3:$N$228,$K$3:$K$228,X21)</f>
        <v>1071.2599999999998</v>
      </c>
      <c r="AF21" s="60">
        <f>SUM(AD21-AE21)</f>
        <v>-577.5999999999998</v>
      </c>
      <c r="AG21" s="21">
        <f>SUM(AD21/Z21)</f>
        <v>37.973846153846154</v>
      </c>
    </row>
    <row r="22" spans="1:33" ht="17.25" customHeight="1" x14ac:dyDescent="0.25">
      <c r="A22" s="5">
        <f t="shared" si="0"/>
        <v>5.4000000000000057</v>
      </c>
      <c r="B22" s="5" t="str">
        <f t="shared" si="8"/>
        <v>V</v>
      </c>
      <c r="C22" s="5">
        <f t="shared" si="2"/>
        <v>83.95</v>
      </c>
      <c r="D22" s="5">
        <f t="shared" si="3"/>
        <v>78.55</v>
      </c>
      <c r="E22" s="4"/>
      <c r="F22" s="45" t="s">
        <v>104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76</v>
      </c>
      <c r="L22" s="45" t="s">
        <v>93</v>
      </c>
      <c r="M22" s="4"/>
      <c r="N22" s="5">
        <f t="shared" si="4"/>
        <v>83.95</v>
      </c>
      <c r="O22" s="5">
        <f t="shared" si="5"/>
        <v>78.55</v>
      </c>
      <c r="P22" s="5" t="str">
        <f t="shared" si="6"/>
        <v>D</v>
      </c>
      <c r="Q22" s="5">
        <f t="shared" si="7"/>
        <v>-5.4000000000000057</v>
      </c>
      <c r="X22" s="44" t="s">
        <v>60</v>
      </c>
      <c r="Y22" s="90">
        <f>SUM((AA22*3)+AB22)</f>
        <v>5</v>
      </c>
      <c r="Z22" s="90">
        <f>SUM(AA22+AB22+AC22)</f>
        <v>13</v>
      </c>
      <c r="AA22" s="62">
        <f>COUNTIFS($G$3:$G$228,X22,$B$3:$B$228,"V")+COUNTIFS($K$3:$K$228,X22,$P$3:$P$228,"V")</f>
        <v>0</v>
      </c>
      <c r="AB22" s="62">
        <f>COUNTIFS($G$3:$G$228,X22,$B$3:$B$228,"E",$H$3:$H$228,"&lt;&gt;"&amp;"")+COUNTIFS($K$3:$K$228,X22,$P$3:$P$228,"E",$J$3:$J$228,"&lt;&gt;"&amp;"")</f>
        <v>5</v>
      </c>
      <c r="AC22" s="62">
        <f>COUNTIFS($G$3:$G$228,X22,$B$3:$B$228,"D")+COUNTIFS($K$3:$K$228,X22,$P$3:$P$228,"D")</f>
        <v>8</v>
      </c>
      <c r="AD22" s="62">
        <f>SUMIFS($C$3:$C$228,$G$3:$G$228,X22)+SUMIFS($O$3:$O$228,$K$3:$K$228,X22)</f>
        <v>709.2399999999999</v>
      </c>
      <c r="AE22" s="62">
        <f>SUMIFS($D$3:$D$228,$G$3:$G$228,X22)+SUMIFS($N$3:$N$228,$K$3:$K$228,X22)</f>
        <v>1014.58</v>
      </c>
      <c r="AF22" s="90">
        <f>SUM(AD22-AE22)</f>
        <v>-305.34000000000015</v>
      </c>
      <c r="AG22" s="22">
        <f>SUM(AD22/Z22)</f>
        <v>54.55692307692307</v>
      </c>
    </row>
    <row r="23" spans="1:33" ht="17.25" customHeight="1" x14ac:dyDescent="0.25">
      <c r="A23" s="5">
        <f t="shared" si="0"/>
        <v>91.5</v>
      </c>
      <c r="B23" s="5" t="str">
        <f t="shared" si="8"/>
        <v>V</v>
      </c>
      <c r="C23" s="5">
        <f t="shared" si="2"/>
        <v>91.5</v>
      </c>
      <c r="D23" s="5">
        <f t="shared" si="3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4"/>
        <v>91.5</v>
      </c>
      <c r="O23" s="5">
        <f t="shared" si="5"/>
        <v>0</v>
      </c>
      <c r="P23" s="5" t="str">
        <f t="shared" si="6"/>
        <v>D</v>
      </c>
      <c r="Q23" s="5">
        <f t="shared" si="7"/>
        <v>-91.5</v>
      </c>
    </row>
    <row r="24" spans="1:33" ht="17.25" customHeight="1" x14ac:dyDescent="0.25">
      <c r="A24" s="5">
        <f t="shared" si="0"/>
        <v>-56.11</v>
      </c>
      <c r="B24" s="5" t="str">
        <f t="shared" si="8"/>
        <v>D</v>
      </c>
      <c r="C24" s="5">
        <f t="shared" si="2"/>
        <v>0</v>
      </c>
      <c r="D24" s="5">
        <f t="shared" si="3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105</v>
      </c>
      <c r="M24" s="4"/>
      <c r="N24" s="5">
        <f t="shared" si="4"/>
        <v>0</v>
      </c>
      <c r="O24" s="5">
        <f t="shared" si="5"/>
        <v>56.11</v>
      </c>
      <c r="P24" s="5" t="str">
        <f t="shared" si="6"/>
        <v>V</v>
      </c>
      <c r="Q24" s="5">
        <f t="shared" si="7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0"/>
        <v>0</v>
      </c>
      <c r="B27" s="5" t="str">
        <f t="shared" si="8"/>
        <v>E</v>
      </c>
      <c r="C27" s="5">
        <f t="shared" si="2"/>
        <v>0</v>
      </c>
      <c r="D27" s="5">
        <f t="shared" si="3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106</v>
      </c>
      <c r="L27" s="45" t="s">
        <v>70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37"/>
    </row>
    <row r="28" spans="1:33" ht="17.25" customHeight="1" x14ac:dyDescent="0.25">
      <c r="A28" s="5">
        <f t="shared" si="0"/>
        <v>-67.849999999999994</v>
      </c>
      <c r="B28" s="5" t="str">
        <f t="shared" si="8"/>
        <v>D</v>
      </c>
      <c r="C28" s="5">
        <f t="shared" si="2"/>
        <v>0</v>
      </c>
      <c r="D28" s="5">
        <f t="shared" si="3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4"/>
        <v>0</v>
      </c>
      <c r="O28" s="5">
        <f t="shared" si="5"/>
        <v>67.849999999999994</v>
      </c>
      <c r="P28" s="5" t="str">
        <f t="shared" si="6"/>
        <v>V</v>
      </c>
      <c r="Q28" s="5">
        <f t="shared" si="7"/>
        <v>67.849999999999994</v>
      </c>
      <c r="X28" s="37"/>
    </row>
    <row r="29" spans="1:33" ht="17.25" customHeight="1" x14ac:dyDescent="0.25">
      <c r="A29" s="5">
        <f t="shared" si="0"/>
        <v>-5.5900000000000034</v>
      </c>
      <c r="B29" s="5" t="str">
        <f t="shared" si="8"/>
        <v>D</v>
      </c>
      <c r="C29" s="5">
        <f t="shared" si="2"/>
        <v>65.31</v>
      </c>
      <c r="D29" s="5">
        <f t="shared" si="3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76</v>
      </c>
      <c r="L29" s="45" t="s">
        <v>93</v>
      </c>
      <c r="M29" s="4"/>
      <c r="N29" s="5">
        <f t="shared" si="4"/>
        <v>65.31</v>
      </c>
      <c r="O29" s="5">
        <f t="shared" si="5"/>
        <v>70.900000000000006</v>
      </c>
      <c r="P29" s="5" t="str">
        <f t="shared" si="6"/>
        <v>V</v>
      </c>
      <c r="Q29" s="5">
        <f t="shared" si="7"/>
        <v>5.5900000000000034</v>
      </c>
      <c r="X29" s="37"/>
    </row>
    <row r="30" spans="1:33" ht="17.25" customHeight="1" x14ac:dyDescent="0.25">
      <c r="A30" s="5">
        <f t="shared" si="0"/>
        <v>-16.740000000000002</v>
      </c>
      <c r="B30" s="5" t="str">
        <f t="shared" si="8"/>
        <v>D</v>
      </c>
      <c r="C30" s="5">
        <f t="shared" si="2"/>
        <v>62.26</v>
      </c>
      <c r="D30" s="5">
        <f t="shared" si="3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104</v>
      </c>
      <c r="M30" s="4"/>
      <c r="N30" s="5">
        <f t="shared" si="4"/>
        <v>62.26</v>
      </c>
      <c r="O30" s="5">
        <f t="shared" si="5"/>
        <v>79</v>
      </c>
      <c r="P30" s="5" t="str">
        <f t="shared" si="6"/>
        <v>V</v>
      </c>
      <c r="Q30" s="5">
        <f t="shared" si="7"/>
        <v>16.740000000000002</v>
      </c>
      <c r="X30" s="37"/>
    </row>
    <row r="31" spans="1:33" ht="17.25" customHeight="1" x14ac:dyDescent="0.25">
      <c r="A31" s="5">
        <f t="shared" si="0"/>
        <v>8.2100000000000009</v>
      </c>
      <c r="B31" s="5" t="str">
        <f t="shared" si="8"/>
        <v>V</v>
      </c>
      <c r="C31" s="5">
        <f t="shared" si="2"/>
        <v>58.01</v>
      </c>
      <c r="D31" s="5">
        <f t="shared" si="3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4"/>
        <v>58.01</v>
      </c>
      <c r="O31" s="5">
        <f t="shared" si="5"/>
        <v>49.8</v>
      </c>
      <c r="P31" s="5" t="str">
        <f t="shared" si="6"/>
        <v>D</v>
      </c>
      <c r="Q31" s="5">
        <f t="shared" si="7"/>
        <v>-8.2100000000000009</v>
      </c>
      <c r="X31" s="37"/>
    </row>
    <row r="32" spans="1:33" ht="17.25" customHeight="1" x14ac:dyDescent="0.25">
      <c r="A32" s="5">
        <f t="shared" si="0"/>
        <v>-27.840000000000003</v>
      </c>
      <c r="B32" s="5" t="str">
        <f t="shared" si="8"/>
        <v>D</v>
      </c>
      <c r="C32" s="5">
        <f t="shared" si="2"/>
        <v>57.06</v>
      </c>
      <c r="D32" s="5">
        <f t="shared" si="3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4"/>
        <v>57.06</v>
      </c>
      <c r="O32" s="5">
        <f t="shared" si="5"/>
        <v>84.9</v>
      </c>
      <c r="P32" s="5" t="str">
        <f t="shared" si="6"/>
        <v>V</v>
      </c>
      <c r="Q32" s="5">
        <f t="shared" si="7"/>
        <v>27.840000000000003</v>
      </c>
      <c r="X32" s="37"/>
    </row>
    <row r="33" spans="1:24" ht="17.25" customHeight="1" x14ac:dyDescent="0.25">
      <c r="A33" s="5">
        <f t="shared" si="0"/>
        <v>-8.0599999999999952</v>
      </c>
      <c r="B33" s="5" t="str">
        <f t="shared" si="8"/>
        <v>D</v>
      </c>
      <c r="C33" s="5">
        <f t="shared" si="2"/>
        <v>63.65</v>
      </c>
      <c r="D33" s="5">
        <f t="shared" si="3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4"/>
        <v>63.65</v>
      </c>
      <c r="O33" s="5">
        <f t="shared" si="5"/>
        <v>71.709999999999994</v>
      </c>
      <c r="P33" s="5" t="str">
        <f t="shared" si="6"/>
        <v>V</v>
      </c>
      <c r="Q33" s="5">
        <f t="shared" si="7"/>
        <v>8.0599999999999952</v>
      </c>
      <c r="X33" s="37"/>
    </row>
    <row r="34" spans="1:24" ht="17.25" customHeight="1" x14ac:dyDescent="0.25">
      <c r="A34" s="5">
        <f t="shared" si="0"/>
        <v>59.75</v>
      </c>
      <c r="B34" s="5" t="str">
        <f t="shared" si="8"/>
        <v>V</v>
      </c>
      <c r="C34" s="5">
        <f t="shared" si="2"/>
        <v>59.75</v>
      </c>
      <c r="D34" s="5">
        <f t="shared" si="3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105</v>
      </c>
      <c r="M34" s="4"/>
      <c r="N34" s="5">
        <f t="shared" si="4"/>
        <v>59.75</v>
      </c>
      <c r="O34" s="5">
        <f t="shared" si="5"/>
        <v>0</v>
      </c>
      <c r="P34" s="5" t="str">
        <f t="shared" si="6"/>
        <v>D</v>
      </c>
      <c r="Q34" s="5">
        <f t="shared" si="7"/>
        <v>-59.75</v>
      </c>
      <c r="X34" s="37"/>
    </row>
    <row r="35" spans="1:24" ht="17.25" customHeight="1" x14ac:dyDescent="0.25">
      <c r="A35" s="5">
        <f t="shared" si="0"/>
        <v>-31.010000000000005</v>
      </c>
      <c r="B35" s="5" t="str">
        <f t="shared" si="8"/>
        <v>D</v>
      </c>
      <c r="C35" s="5">
        <f t="shared" si="2"/>
        <v>52</v>
      </c>
      <c r="D35" s="5">
        <f t="shared" si="3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4"/>
        <v>52</v>
      </c>
      <c r="O35" s="5">
        <f t="shared" si="5"/>
        <v>83.01</v>
      </c>
      <c r="P35" s="5" t="str">
        <f t="shared" si="6"/>
        <v>V</v>
      </c>
      <c r="Q35" s="5">
        <f t="shared" si="7"/>
        <v>31.010000000000005</v>
      </c>
      <c r="X35" s="37"/>
    </row>
    <row r="36" spans="1:24" ht="17.25" customHeight="1" x14ac:dyDescent="0.25">
      <c r="A36" s="5">
        <f t="shared" si="0"/>
        <v>-24.050000000000011</v>
      </c>
      <c r="B36" s="5" t="str">
        <f t="shared" si="8"/>
        <v>D</v>
      </c>
      <c r="C36" s="5">
        <f t="shared" si="2"/>
        <v>66.709999999999994</v>
      </c>
      <c r="D36" s="5">
        <f t="shared" si="3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4"/>
        <v>66.709999999999994</v>
      </c>
      <c r="O36" s="5">
        <f t="shared" si="5"/>
        <v>90.76</v>
      </c>
      <c r="P36" s="5" t="str">
        <f t="shared" si="6"/>
        <v>V</v>
      </c>
      <c r="Q36" s="5">
        <f t="shared" si="7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0"/>
        <v>-50.84</v>
      </c>
      <c r="B39" s="5" t="str">
        <f t="shared" si="8"/>
        <v>D</v>
      </c>
      <c r="C39" s="5">
        <f t="shared" si="2"/>
        <v>39.799999999999997</v>
      </c>
      <c r="D39" s="5">
        <f t="shared" si="3"/>
        <v>90.64</v>
      </c>
      <c r="E39" s="4"/>
      <c r="F39" s="45" t="s">
        <v>105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4"/>
        <v>39.799999999999997</v>
      </c>
      <c r="O39" s="5">
        <f t="shared" si="5"/>
        <v>90.64</v>
      </c>
      <c r="P39" s="5" t="str">
        <f t="shared" si="6"/>
        <v>V</v>
      </c>
      <c r="Q39" s="5">
        <f t="shared" si="7"/>
        <v>50.84</v>
      </c>
      <c r="X39" s="37"/>
    </row>
    <row r="40" spans="1:24" ht="17.25" customHeight="1" x14ac:dyDescent="0.25">
      <c r="A40" s="5">
        <f t="shared" si="0"/>
        <v>45.93</v>
      </c>
      <c r="B40" s="5" t="str">
        <f t="shared" si="8"/>
        <v>V</v>
      </c>
      <c r="C40" s="5">
        <f t="shared" si="2"/>
        <v>45.93</v>
      </c>
      <c r="D40" s="5">
        <f t="shared" si="3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4"/>
        <v>45.93</v>
      </c>
      <c r="O40" s="5">
        <f t="shared" si="5"/>
        <v>0</v>
      </c>
      <c r="P40" s="5" t="str">
        <f t="shared" si="6"/>
        <v>D</v>
      </c>
      <c r="Q40" s="5">
        <f t="shared" si="7"/>
        <v>-45.93</v>
      </c>
      <c r="X40" s="37"/>
    </row>
    <row r="41" spans="1:24" ht="17.25" customHeight="1" x14ac:dyDescent="0.25">
      <c r="A41" s="5">
        <f t="shared" si="0"/>
        <v>-3.2100000000000009</v>
      </c>
      <c r="B41" s="5" t="str">
        <f t="shared" si="8"/>
        <v>E</v>
      </c>
      <c r="C41" s="5">
        <f t="shared" si="2"/>
        <v>59.8</v>
      </c>
      <c r="D41" s="5">
        <f t="shared" si="3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4"/>
        <v>59.8</v>
      </c>
      <c r="O41" s="5">
        <f t="shared" si="5"/>
        <v>63.01</v>
      </c>
      <c r="P41" s="5" t="str">
        <f t="shared" si="6"/>
        <v>E</v>
      </c>
      <c r="Q41" s="5">
        <f t="shared" si="7"/>
        <v>3.2100000000000009</v>
      </c>
      <c r="X41" s="37"/>
    </row>
    <row r="42" spans="1:24" ht="17.25" customHeight="1" x14ac:dyDescent="0.25">
      <c r="A42" s="5">
        <f t="shared" si="0"/>
        <v>62.43</v>
      </c>
      <c r="B42" s="5" t="str">
        <f t="shared" si="8"/>
        <v>V</v>
      </c>
      <c r="C42" s="5">
        <f t="shared" si="2"/>
        <v>62.43</v>
      </c>
      <c r="D42" s="5">
        <f t="shared" si="3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4"/>
        <v>62.43</v>
      </c>
      <c r="O42" s="5">
        <f t="shared" si="5"/>
        <v>0</v>
      </c>
      <c r="P42" s="5" t="str">
        <f t="shared" si="6"/>
        <v>D</v>
      </c>
      <c r="Q42" s="5">
        <f t="shared" si="7"/>
        <v>-62.43</v>
      </c>
      <c r="X42" s="37"/>
    </row>
    <row r="43" spans="1:24" ht="17.25" customHeight="1" x14ac:dyDescent="0.25">
      <c r="A43" s="5">
        <f t="shared" si="0"/>
        <v>-40.31</v>
      </c>
      <c r="B43" s="5" t="str">
        <f t="shared" si="8"/>
        <v>D</v>
      </c>
      <c r="C43" s="5">
        <f t="shared" si="2"/>
        <v>51.5</v>
      </c>
      <c r="D43" s="5">
        <f t="shared" si="3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4"/>
        <v>51.5</v>
      </c>
      <c r="O43" s="5">
        <f t="shared" si="5"/>
        <v>91.81</v>
      </c>
      <c r="P43" s="5" t="str">
        <f t="shared" si="6"/>
        <v>V</v>
      </c>
      <c r="Q43" s="5">
        <f t="shared" si="7"/>
        <v>40.31</v>
      </c>
      <c r="X43" s="38"/>
    </row>
    <row r="44" spans="1:24" ht="17.25" customHeight="1" x14ac:dyDescent="0.25">
      <c r="A44" s="5">
        <f t="shared" si="0"/>
        <v>15.920000000000002</v>
      </c>
      <c r="B44" s="5" t="str">
        <f t="shared" si="8"/>
        <v>V</v>
      </c>
      <c r="C44" s="5">
        <f t="shared" si="2"/>
        <v>97.26</v>
      </c>
      <c r="D44" s="5">
        <f t="shared" si="3"/>
        <v>81.34</v>
      </c>
      <c r="E44" s="4"/>
      <c r="F44" s="45" t="s">
        <v>70</v>
      </c>
      <c r="G44" s="2" t="s">
        <v>106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4"/>
        <v>97.26</v>
      </c>
      <c r="O44" s="5">
        <f t="shared" si="5"/>
        <v>81.34</v>
      </c>
      <c r="P44" s="5" t="str">
        <f t="shared" si="6"/>
        <v>D</v>
      </c>
      <c r="Q44" s="5">
        <f t="shared" si="7"/>
        <v>-15.920000000000002</v>
      </c>
      <c r="X44" s="37"/>
    </row>
    <row r="45" spans="1:24" ht="17.25" customHeight="1" x14ac:dyDescent="0.25">
      <c r="A45" s="5">
        <f t="shared" si="0"/>
        <v>25.349999999999994</v>
      </c>
      <c r="B45" s="5" t="str">
        <f t="shared" si="8"/>
        <v>V</v>
      </c>
      <c r="C45" s="5">
        <f t="shared" si="2"/>
        <v>78.13</v>
      </c>
      <c r="D45" s="5">
        <f t="shared" si="3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4"/>
        <v>78.13</v>
      </c>
      <c r="O45" s="5">
        <f t="shared" si="5"/>
        <v>52.78</v>
      </c>
      <c r="P45" s="5" t="str">
        <f t="shared" si="6"/>
        <v>D</v>
      </c>
      <c r="Q45" s="5">
        <f t="shared" si="7"/>
        <v>-25.349999999999994</v>
      </c>
      <c r="X45" s="37"/>
    </row>
    <row r="46" spans="1:24" ht="17.25" customHeight="1" x14ac:dyDescent="0.25">
      <c r="A46" s="5">
        <f t="shared" si="0"/>
        <v>32.35</v>
      </c>
      <c r="B46" s="5" t="str">
        <f t="shared" si="8"/>
        <v>V</v>
      </c>
      <c r="C46" s="5">
        <f t="shared" si="2"/>
        <v>65.25</v>
      </c>
      <c r="D46" s="5">
        <f t="shared" si="3"/>
        <v>32.9</v>
      </c>
      <c r="E46" s="4"/>
      <c r="F46" s="45" t="s">
        <v>104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4"/>
        <v>65.25</v>
      </c>
      <c r="O46" s="5">
        <f t="shared" si="5"/>
        <v>32.9</v>
      </c>
      <c r="P46" s="5" t="str">
        <f t="shared" si="6"/>
        <v>D</v>
      </c>
      <c r="Q46" s="5">
        <f t="shared" si="7"/>
        <v>-32.35</v>
      </c>
      <c r="X46" s="37"/>
    </row>
    <row r="47" spans="1:24" ht="17.25" customHeight="1" x14ac:dyDescent="0.25">
      <c r="A47" s="5">
        <f t="shared" si="0"/>
        <v>78.47</v>
      </c>
      <c r="B47" s="5" t="str">
        <f t="shared" si="8"/>
        <v>V</v>
      </c>
      <c r="C47" s="5">
        <f t="shared" si="2"/>
        <v>78.47</v>
      </c>
      <c r="D47" s="5">
        <f t="shared" si="3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4"/>
        <v>78.47</v>
      </c>
      <c r="O47" s="5">
        <f t="shared" si="5"/>
        <v>0</v>
      </c>
      <c r="P47" s="5" t="str">
        <f t="shared" si="6"/>
        <v>D</v>
      </c>
      <c r="Q47" s="5">
        <f t="shared" si="7"/>
        <v>-78.47</v>
      </c>
      <c r="X47" s="37"/>
    </row>
    <row r="48" spans="1:24" ht="17.25" customHeight="1" x14ac:dyDescent="0.25">
      <c r="A48" s="5">
        <f t="shared" si="0"/>
        <v>9.279999999999994</v>
      </c>
      <c r="B48" s="5" t="str">
        <f t="shared" si="8"/>
        <v>V</v>
      </c>
      <c r="C48" s="5">
        <f t="shared" si="2"/>
        <v>66.05</v>
      </c>
      <c r="D48" s="5">
        <f t="shared" si="3"/>
        <v>56.77</v>
      </c>
      <c r="E48" s="4"/>
      <c r="F48" s="45" t="s">
        <v>93</v>
      </c>
      <c r="G48" s="2" t="s">
        <v>76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4"/>
        <v>66.05</v>
      </c>
      <c r="O48" s="5">
        <f t="shared" si="5"/>
        <v>56.77</v>
      </c>
      <c r="P48" s="5" t="str">
        <f t="shared" si="6"/>
        <v>D</v>
      </c>
      <c r="Q48" s="5">
        <f t="shared" si="7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-61.72</v>
      </c>
      <c r="B51" s="5" t="str">
        <f t="shared" si="8"/>
        <v>D</v>
      </c>
      <c r="C51" s="5">
        <f t="shared" si="2"/>
        <v>50.8</v>
      </c>
      <c r="D51" s="5">
        <f t="shared" si="3"/>
        <v>112.52</v>
      </c>
      <c r="E51" s="4"/>
      <c r="F51" s="45" t="s">
        <v>105</v>
      </c>
      <c r="G51" s="2" t="s">
        <v>80</v>
      </c>
      <c r="H51" s="66">
        <v>50.8</v>
      </c>
      <c r="I51" s="1" t="s">
        <v>52</v>
      </c>
      <c r="J51" s="75">
        <v>112.52</v>
      </c>
      <c r="K51" s="2" t="s">
        <v>82</v>
      </c>
      <c r="L51" s="45" t="s">
        <v>103</v>
      </c>
      <c r="M51" s="4"/>
      <c r="N51" s="5">
        <f t="shared" si="4"/>
        <v>50.8</v>
      </c>
      <c r="O51" s="5">
        <f t="shared" si="5"/>
        <v>112.52</v>
      </c>
      <c r="P51" s="5" t="str">
        <f t="shared" si="6"/>
        <v>V</v>
      </c>
      <c r="Q51" s="5">
        <f t="shared" si="7"/>
        <v>61.72</v>
      </c>
      <c r="X51" s="26"/>
    </row>
    <row r="52" spans="1:24" ht="17.25" customHeight="1" x14ac:dyDescent="0.25">
      <c r="A52" s="5">
        <f t="shared" si="0"/>
        <v>-35.83</v>
      </c>
      <c r="B52" s="5" t="str">
        <f t="shared" si="8"/>
        <v>D</v>
      </c>
      <c r="C52" s="5">
        <f t="shared" si="2"/>
        <v>87.34</v>
      </c>
      <c r="D52" s="5">
        <f t="shared" si="3"/>
        <v>123.17</v>
      </c>
      <c r="E52" s="4"/>
      <c r="F52" s="45" t="s">
        <v>94</v>
      </c>
      <c r="G52" s="2" t="s">
        <v>77</v>
      </c>
      <c r="H52" s="66">
        <v>87.34</v>
      </c>
      <c r="I52" s="1" t="s">
        <v>52</v>
      </c>
      <c r="J52" s="75">
        <v>123.17</v>
      </c>
      <c r="K52" s="2" t="s">
        <v>61</v>
      </c>
      <c r="L52" s="45" t="s">
        <v>101</v>
      </c>
      <c r="M52" s="4"/>
      <c r="N52" s="5">
        <f t="shared" si="4"/>
        <v>87.34</v>
      </c>
      <c r="O52" s="5">
        <f t="shared" si="5"/>
        <v>123.17</v>
      </c>
      <c r="P52" s="5" t="str">
        <f t="shared" si="6"/>
        <v>V</v>
      </c>
      <c r="Q52" s="5">
        <f t="shared" si="7"/>
        <v>35.83</v>
      </c>
      <c r="X52" s="26"/>
    </row>
    <row r="53" spans="1:24" ht="17.25" customHeight="1" x14ac:dyDescent="0.25">
      <c r="A53" s="5">
        <f t="shared" si="0"/>
        <v>-15.049999999999997</v>
      </c>
      <c r="B53" s="5" t="str">
        <f t="shared" si="8"/>
        <v>D</v>
      </c>
      <c r="C53" s="5">
        <f t="shared" si="2"/>
        <v>88.72</v>
      </c>
      <c r="D53" s="5">
        <f t="shared" si="3"/>
        <v>103.77</v>
      </c>
      <c r="E53" s="4"/>
      <c r="F53" s="45" t="s">
        <v>102</v>
      </c>
      <c r="G53" s="2" t="s">
        <v>81</v>
      </c>
      <c r="H53" s="66">
        <v>88.72</v>
      </c>
      <c r="I53" s="1" t="s">
        <v>52</v>
      </c>
      <c r="J53" s="75">
        <v>103.77</v>
      </c>
      <c r="K53" s="2" t="s">
        <v>69</v>
      </c>
      <c r="L53" s="45" t="s">
        <v>68</v>
      </c>
      <c r="M53" s="4"/>
      <c r="N53" s="5">
        <f t="shared" si="4"/>
        <v>88.72</v>
      </c>
      <c r="O53" s="5">
        <f t="shared" si="5"/>
        <v>103.77</v>
      </c>
      <c r="P53" s="5" t="str">
        <f t="shared" si="6"/>
        <v>V</v>
      </c>
      <c r="Q53" s="5">
        <f t="shared" si="7"/>
        <v>15.049999999999997</v>
      </c>
      <c r="X53" s="27"/>
    </row>
    <row r="54" spans="1:24" ht="17.25" customHeight="1" x14ac:dyDescent="0.25">
      <c r="A54" s="5">
        <f t="shared" si="0"/>
        <v>-33.129999999999995</v>
      </c>
      <c r="B54" s="5" t="str">
        <f t="shared" si="8"/>
        <v>D</v>
      </c>
      <c r="C54" s="5">
        <f t="shared" si="2"/>
        <v>97.37</v>
      </c>
      <c r="D54" s="5">
        <f t="shared" si="3"/>
        <v>130.5</v>
      </c>
      <c r="E54" s="4"/>
      <c r="F54" s="45" t="s">
        <v>63</v>
      </c>
      <c r="G54" s="2" t="s">
        <v>62</v>
      </c>
      <c r="H54" s="66">
        <v>97.37</v>
      </c>
      <c r="I54" s="1" t="s">
        <v>52</v>
      </c>
      <c r="J54" s="75">
        <v>130.5</v>
      </c>
      <c r="K54" s="2" t="s">
        <v>88</v>
      </c>
      <c r="L54" s="45" t="s">
        <v>98</v>
      </c>
      <c r="M54" s="4"/>
      <c r="N54" s="5">
        <f t="shared" si="4"/>
        <v>97.37</v>
      </c>
      <c r="O54" s="5">
        <f t="shared" si="5"/>
        <v>130.5</v>
      </c>
      <c r="P54" s="5" t="str">
        <f t="shared" si="6"/>
        <v>V</v>
      </c>
      <c r="Q54" s="5">
        <f t="shared" si="7"/>
        <v>33.129999999999995</v>
      </c>
      <c r="X54" s="26"/>
    </row>
    <row r="55" spans="1:24" ht="17.25" customHeight="1" x14ac:dyDescent="0.25">
      <c r="A55" s="5">
        <f t="shared" si="0"/>
        <v>1.7099999999999937</v>
      </c>
      <c r="B55" s="5" t="str">
        <f t="shared" si="8"/>
        <v>E</v>
      </c>
      <c r="C55" s="5">
        <f t="shared" si="2"/>
        <v>85.11</v>
      </c>
      <c r="D55" s="5">
        <f t="shared" si="3"/>
        <v>83.4</v>
      </c>
      <c r="E55" s="4"/>
      <c r="F55" s="45" t="s">
        <v>67</v>
      </c>
      <c r="G55" s="2" t="s">
        <v>64</v>
      </c>
      <c r="H55" s="76">
        <v>85.11</v>
      </c>
      <c r="I55" s="1" t="s">
        <v>52</v>
      </c>
      <c r="J55" s="76">
        <v>83.4</v>
      </c>
      <c r="K55" s="2" t="s">
        <v>71</v>
      </c>
      <c r="L55" s="45" t="s">
        <v>72</v>
      </c>
      <c r="M55" s="4"/>
      <c r="N55" s="5">
        <f t="shared" si="4"/>
        <v>85.11</v>
      </c>
      <c r="O55" s="5">
        <f t="shared" si="5"/>
        <v>83.4</v>
      </c>
      <c r="P55" s="5" t="str">
        <f t="shared" si="6"/>
        <v>E</v>
      </c>
      <c r="Q55" s="5">
        <f t="shared" si="7"/>
        <v>-1.7099999999999937</v>
      </c>
      <c r="X55" s="27"/>
    </row>
    <row r="56" spans="1:24" ht="17.25" customHeight="1" x14ac:dyDescent="0.25">
      <c r="A56" s="5">
        <f t="shared" si="0"/>
        <v>-15.219999999999999</v>
      </c>
      <c r="B56" s="5" t="str">
        <f t="shared" si="8"/>
        <v>D</v>
      </c>
      <c r="C56" s="5">
        <f t="shared" si="2"/>
        <v>85</v>
      </c>
      <c r="D56" s="5">
        <f t="shared" si="3"/>
        <v>100.22</v>
      </c>
      <c r="E56" s="4"/>
      <c r="F56" s="45" t="s">
        <v>70</v>
      </c>
      <c r="G56" s="2" t="s">
        <v>106</v>
      </c>
      <c r="H56" s="66">
        <v>85</v>
      </c>
      <c r="I56" s="1" t="s">
        <v>52</v>
      </c>
      <c r="J56" s="75">
        <v>100.22</v>
      </c>
      <c r="K56" s="2" t="s">
        <v>86</v>
      </c>
      <c r="L56" s="45" t="s">
        <v>96</v>
      </c>
      <c r="M56" s="4"/>
      <c r="N56" s="5">
        <f t="shared" si="4"/>
        <v>85</v>
      </c>
      <c r="O56" s="5">
        <f t="shared" si="5"/>
        <v>100.22</v>
      </c>
      <c r="P56" s="5" t="str">
        <f t="shared" si="6"/>
        <v>V</v>
      </c>
      <c r="Q56" s="5">
        <f t="shared" si="7"/>
        <v>15.219999999999999</v>
      </c>
      <c r="X56" s="26"/>
    </row>
    <row r="57" spans="1:24" ht="17.25" customHeight="1" x14ac:dyDescent="0.25">
      <c r="A57" s="5">
        <f t="shared" si="0"/>
        <v>5.4899999999999949</v>
      </c>
      <c r="B57" s="5" t="str">
        <f t="shared" si="8"/>
        <v>V</v>
      </c>
      <c r="C57" s="5">
        <f t="shared" si="2"/>
        <v>73.27</v>
      </c>
      <c r="D57" s="5">
        <f t="shared" si="3"/>
        <v>67.78</v>
      </c>
      <c r="E57" s="4"/>
      <c r="F57" s="45" t="s">
        <v>97</v>
      </c>
      <c r="G57" s="2" t="s">
        <v>87</v>
      </c>
      <c r="H57" s="75">
        <v>73.27</v>
      </c>
      <c r="I57" s="1" t="s">
        <v>52</v>
      </c>
      <c r="J57" s="66">
        <v>67.78</v>
      </c>
      <c r="K57" s="2" t="s">
        <v>84</v>
      </c>
      <c r="L57" s="45" t="s">
        <v>100</v>
      </c>
      <c r="M57" s="4"/>
      <c r="N57" s="5">
        <f t="shared" si="4"/>
        <v>73.27</v>
      </c>
      <c r="O57" s="5">
        <f t="shared" si="5"/>
        <v>67.78</v>
      </c>
      <c r="P57" s="5" t="str">
        <f t="shared" si="6"/>
        <v>D</v>
      </c>
      <c r="Q57" s="5">
        <f t="shared" si="7"/>
        <v>-5.4899999999999949</v>
      </c>
      <c r="X57" s="26"/>
    </row>
    <row r="58" spans="1:24" ht="17.25" customHeight="1" x14ac:dyDescent="0.25">
      <c r="A58" s="5">
        <f t="shared" si="0"/>
        <v>-9.5</v>
      </c>
      <c r="B58" s="5" t="str">
        <f t="shared" si="8"/>
        <v>D</v>
      </c>
      <c r="C58" s="5">
        <f t="shared" si="2"/>
        <v>78.08</v>
      </c>
      <c r="D58" s="5">
        <f t="shared" si="3"/>
        <v>87.58</v>
      </c>
      <c r="E58" s="4"/>
      <c r="F58" s="45" t="s">
        <v>104</v>
      </c>
      <c r="G58" s="2" t="s">
        <v>75</v>
      </c>
      <c r="H58" s="66">
        <v>78.08</v>
      </c>
      <c r="I58" s="1" t="s">
        <v>52</v>
      </c>
      <c r="J58" s="75">
        <v>87.58</v>
      </c>
      <c r="K58" s="2" t="s">
        <v>74</v>
      </c>
      <c r="L58" s="45" t="s">
        <v>92</v>
      </c>
      <c r="M58" s="4"/>
      <c r="N58" s="5">
        <f t="shared" si="4"/>
        <v>78.08</v>
      </c>
      <c r="O58" s="5">
        <f t="shared" si="5"/>
        <v>87.58</v>
      </c>
      <c r="P58" s="5" t="str">
        <f t="shared" si="6"/>
        <v>V</v>
      </c>
      <c r="Q58" s="5">
        <f t="shared" si="7"/>
        <v>9.5</v>
      </c>
      <c r="X58" s="26"/>
    </row>
    <row r="59" spans="1:24" ht="17.25" customHeight="1" x14ac:dyDescent="0.25">
      <c r="A59" s="5">
        <f t="shared" si="0"/>
        <v>63.370000000000005</v>
      </c>
      <c r="B59" s="5" t="str">
        <f t="shared" si="8"/>
        <v>V</v>
      </c>
      <c r="C59" s="5">
        <f t="shared" si="2"/>
        <v>103.9</v>
      </c>
      <c r="D59" s="5">
        <f t="shared" si="3"/>
        <v>40.53</v>
      </c>
      <c r="E59" s="4"/>
      <c r="F59" s="45" t="s">
        <v>95</v>
      </c>
      <c r="G59" s="2" t="s">
        <v>79</v>
      </c>
      <c r="H59" s="75">
        <v>103.9</v>
      </c>
      <c r="I59" s="1" t="s">
        <v>52</v>
      </c>
      <c r="J59" s="66">
        <v>40.53</v>
      </c>
      <c r="K59" s="2" t="s">
        <v>60</v>
      </c>
      <c r="L59" s="45" t="s">
        <v>99</v>
      </c>
      <c r="M59" s="4"/>
      <c r="N59" s="5">
        <f t="shared" si="4"/>
        <v>103.9</v>
      </c>
      <c r="O59" s="5">
        <f t="shared" si="5"/>
        <v>40.53</v>
      </c>
      <c r="P59" s="5" t="str">
        <f t="shared" si="6"/>
        <v>D</v>
      </c>
      <c r="Q59" s="5">
        <f t="shared" si="7"/>
        <v>-63.370000000000005</v>
      </c>
      <c r="X59" s="26"/>
    </row>
    <row r="60" spans="1:24" ht="17.25" customHeight="1" x14ac:dyDescent="0.25">
      <c r="A60" s="5">
        <f t="shared" si="0"/>
        <v>-3.25</v>
      </c>
      <c r="B60" s="5" t="str">
        <f t="shared" si="8"/>
        <v>E</v>
      </c>
      <c r="C60" s="5">
        <f t="shared" si="2"/>
        <v>92.72</v>
      </c>
      <c r="D60" s="5">
        <f t="shared" si="3"/>
        <v>95.97</v>
      </c>
      <c r="E60" s="4"/>
      <c r="F60" s="45" t="s">
        <v>93</v>
      </c>
      <c r="G60" s="2" t="s">
        <v>76</v>
      </c>
      <c r="H60" s="76">
        <v>92.72</v>
      </c>
      <c r="I60" s="1" t="s">
        <v>52</v>
      </c>
      <c r="J60" s="76">
        <v>95.97</v>
      </c>
      <c r="K60" s="2" t="s">
        <v>66</v>
      </c>
      <c r="L60" s="45" t="s">
        <v>65</v>
      </c>
      <c r="M60" s="4"/>
      <c r="N60" s="5">
        <f t="shared" si="4"/>
        <v>92.72</v>
      </c>
      <c r="O60" s="5">
        <f t="shared" si="5"/>
        <v>95.97</v>
      </c>
      <c r="P60" s="5" t="str">
        <f t="shared" si="6"/>
        <v>E</v>
      </c>
      <c r="Q60" s="5">
        <f t="shared" si="7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0"/>
        <v>72.95</v>
      </c>
      <c r="B63" s="5" t="str">
        <f t="shared" si="8"/>
        <v>V</v>
      </c>
      <c r="C63" s="5">
        <f t="shared" si="2"/>
        <v>72.95</v>
      </c>
      <c r="D63" s="5">
        <f t="shared" si="3"/>
        <v>0</v>
      </c>
      <c r="E63" s="4"/>
      <c r="F63" s="45" t="s">
        <v>92</v>
      </c>
      <c r="G63" s="2" t="s">
        <v>74</v>
      </c>
      <c r="H63" s="75">
        <v>72.95</v>
      </c>
      <c r="I63" s="1" t="s">
        <v>52</v>
      </c>
      <c r="J63" s="66">
        <v>0</v>
      </c>
      <c r="K63" s="2" t="s">
        <v>77</v>
      </c>
      <c r="L63" s="45" t="s">
        <v>94</v>
      </c>
      <c r="M63" s="4"/>
      <c r="N63" s="5">
        <f t="shared" si="4"/>
        <v>72.95</v>
      </c>
      <c r="O63" s="5">
        <f t="shared" si="5"/>
        <v>0</v>
      </c>
      <c r="P63" s="5" t="str">
        <f t="shared" si="6"/>
        <v>D</v>
      </c>
      <c r="Q63" s="5">
        <f t="shared" si="7"/>
        <v>-72.95</v>
      </c>
      <c r="X63" s="26"/>
    </row>
    <row r="64" spans="1:24" ht="17.25" customHeight="1" x14ac:dyDescent="0.25">
      <c r="A64" s="5">
        <f t="shared" si="0"/>
        <v>55.78</v>
      </c>
      <c r="B64" s="5" t="str">
        <f t="shared" si="8"/>
        <v>V</v>
      </c>
      <c r="C64" s="5">
        <f t="shared" si="2"/>
        <v>124.83</v>
      </c>
      <c r="D64" s="5">
        <f t="shared" si="3"/>
        <v>69.05</v>
      </c>
      <c r="E64" s="4"/>
      <c r="F64" s="45" t="s">
        <v>103</v>
      </c>
      <c r="G64" s="2" t="s">
        <v>82</v>
      </c>
      <c r="H64" s="75">
        <v>124.83</v>
      </c>
      <c r="I64" s="1" t="s">
        <v>52</v>
      </c>
      <c r="J64" s="66">
        <v>69.05</v>
      </c>
      <c r="K64" s="2" t="s">
        <v>106</v>
      </c>
      <c r="L64" s="45" t="s">
        <v>70</v>
      </c>
      <c r="M64" s="4"/>
      <c r="N64" s="5">
        <f t="shared" si="4"/>
        <v>124.83</v>
      </c>
      <c r="O64" s="5">
        <f t="shared" si="5"/>
        <v>69.05</v>
      </c>
      <c r="P64" s="5" t="str">
        <f t="shared" si="6"/>
        <v>D</v>
      </c>
      <c r="Q64" s="5">
        <f t="shared" si="7"/>
        <v>-55.78</v>
      </c>
      <c r="X64" s="26"/>
    </row>
    <row r="65" spans="1:24" ht="17.25" customHeight="1" x14ac:dyDescent="0.25">
      <c r="A65" s="5">
        <f t="shared" si="0"/>
        <v>7.4500000000000028</v>
      </c>
      <c r="B65" s="5" t="str">
        <f t="shared" si="8"/>
        <v>V</v>
      </c>
      <c r="C65" s="5">
        <f t="shared" si="2"/>
        <v>63.45</v>
      </c>
      <c r="D65" s="5">
        <f t="shared" si="3"/>
        <v>56</v>
      </c>
      <c r="E65" s="4"/>
      <c r="F65" s="45" t="s">
        <v>100</v>
      </c>
      <c r="G65" s="2" t="s">
        <v>84</v>
      </c>
      <c r="H65" s="75">
        <v>63.45</v>
      </c>
      <c r="I65" s="1" t="s">
        <v>52</v>
      </c>
      <c r="J65" s="66">
        <v>56</v>
      </c>
      <c r="K65" s="2" t="s">
        <v>64</v>
      </c>
      <c r="L65" s="45" t="s">
        <v>67</v>
      </c>
      <c r="M65" s="4"/>
      <c r="N65" s="5">
        <f t="shared" si="4"/>
        <v>63.45</v>
      </c>
      <c r="O65" s="5">
        <f t="shared" si="5"/>
        <v>56</v>
      </c>
      <c r="P65" s="5" t="str">
        <f t="shared" si="6"/>
        <v>D</v>
      </c>
      <c r="Q65" s="5">
        <f t="shared" si="7"/>
        <v>-7.4500000000000028</v>
      </c>
      <c r="X65" s="27"/>
    </row>
    <row r="66" spans="1:24" ht="17.25" customHeight="1" x14ac:dyDescent="0.25">
      <c r="A66" s="5">
        <f t="shared" si="0"/>
        <v>2.3399999999999892</v>
      </c>
      <c r="B66" s="5" t="str">
        <f t="shared" si="8"/>
        <v>E</v>
      </c>
      <c r="C66" s="5">
        <f t="shared" si="2"/>
        <v>72.349999999999994</v>
      </c>
      <c r="D66" s="5">
        <f t="shared" si="3"/>
        <v>70.010000000000005</v>
      </c>
      <c r="E66" s="4"/>
      <c r="F66" s="45" t="s">
        <v>68</v>
      </c>
      <c r="G66" s="2" t="s">
        <v>69</v>
      </c>
      <c r="H66" s="76">
        <v>72.349999999999994</v>
      </c>
      <c r="I66" s="1" t="s">
        <v>52</v>
      </c>
      <c r="J66" s="76">
        <v>70.010000000000005</v>
      </c>
      <c r="K66" s="2" t="s">
        <v>80</v>
      </c>
      <c r="L66" s="45" t="s">
        <v>105</v>
      </c>
      <c r="M66" s="4"/>
      <c r="N66" s="5">
        <f t="shared" si="4"/>
        <v>72.349999999999994</v>
      </c>
      <c r="O66" s="5">
        <f t="shared" si="5"/>
        <v>70.010000000000005</v>
      </c>
      <c r="P66" s="5" t="str">
        <f t="shared" si="6"/>
        <v>E</v>
      </c>
      <c r="Q66" s="5">
        <f t="shared" si="7"/>
        <v>-2.3399999999999892</v>
      </c>
      <c r="X66" s="26"/>
    </row>
    <row r="67" spans="1:24" ht="17.25" customHeight="1" x14ac:dyDescent="0.25">
      <c r="A67" s="5">
        <f t="shared" si="0"/>
        <v>24.71</v>
      </c>
      <c r="B67" s="5" t="str">
        <f t="shared" si="8"/>
        <v>V</v>
      </c>
      <c r="C67" s="5">
        <f t="shared" si="2"/>
        <v>83.95</v>
      </c>
      <c r="D67" s="5">
        <f t="shared" si="3"/>
        <v>59.24</v>
      </c>
      <c r="E67" s="4"/>
      <c r="F67" s="45" t="s">
        <v>96</v>
      </c>
      <c r="G67" s="2" t="s">
        <v>86</v>
      </c>
      <c r="H67" s="75">
        <v>83.95</v>
      </c>
      <c r="I67" s="1" t="s">
        <v>52</v>
      </c>
      <c r="J67" s="66">
        <v>59.24</v>
      </c>
      <c r="K67" s="2" t="s">
        <v>75</v>
      </c>
      <c r="L67" s="45" t="s">
        <v>104</v>
      </c>
      <c r="M67" s="4"/>
      <c r="N67" s="5">
        <f t="shared" si="4"/>
        <v>83.95</v>
      </c>
      <c r="O67" s="5">
        <f t="shared" si="5"/>
        <v>59.24</v>
      </c>
      <c r="P67" s="5" t="str">
        <f t="shared" si="6"/>
        <v>D</v>
      </c>
      <c r="Q67" s="5">
        <f t="shared" si="7"/>
        <v>-24.71</v>
      </c>
      <c r="X67" s="26"/>
    </row>
    <row r="68" spans="1:24" ht="17.25" customHeight="1" x14ac:dyDescent="0.25">
      <c r="A68" s="5">
        <f t="shared" ref="A68:A131" si="9">C68-D68</f>
        <v>-12.790000000000006</v>
      </c>
      <c r="B68" s="5" t="str">
        <f t="shared" si="8"/>
        <v>D</v>
      </c>
      <c r="C68" s="5">
        <f t="shared" ref="C68:C131" si="10">H68</f>
        <v>84.69</v>
      </c>
      <c r="D68" s="5">
        <f t="shared" ref="D68:D131" si="11">J68</f>
        <v>97.48</v>
      </c>
      <c r="E68" s="4"/>
      <c r="F68" s="45" t="s">
        <v>101</v>
      </c>
      <c r="G68" s="2" t="s">
        <v>61</v>
      </c>
      <c r="H68" s="66">
        <v>84.69</v>
      </c>
      <c r="I68" s="1" t="s">
        <v>52</v>
      </c>
      <c r="J68" s="75">
        <v>97.48</v>
      </c>
      <c r="K68" s="2" t="s">
        <v>76</v>
      </c>
      <c r="L68" s="45" t="s">
        <v>93</v>
      </c>
      <c r="M68" s="4"/>
      <c r="N68" s="5">
        <f t="shared" ref="N68:N131" si="12">H68</f>
        <v>84.69</v>
      </c>
      <c r="O68" s="5">
        <f t="shared" ref="O68:O131" si="13">J68</f>
        <v>97.48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12.790000000000006</v>
      </c>
      <c r="X68" s="26"/>
    </row>
    <row r="69" spans="1:24" ht="17.25" customHeight="1" x14ac:dyDescent="0.25">
      <c r="A69" s="5">
        <f t="shared" si="9"/>
        <v>-38.150000000000006</v>
      </c>
      <c r="B69" s="5" t="str">
        <f t="shared" si="8"/>
        <v>D</v>
      </c>
      <c r="C69" s="5">
        <f t="shared" si="10"/>
        <v>52.39</v>
      </c>
      <c r="D69" s="5">
        <f t="shared" si="11"/>
        <v>90.54</v>
      </c>
      <c r="E69" s="4"/>
      <c r="F69" s="45" t="s">
        <v>99</v>
      </c>
      <c r="G69" s="2" t="s">
        <v>60</v>
      </c>
      <c r="H69" s="66">
        <v>52.39</v>
      </c>
      <c r="I69" s="1" t="s">
        <v>52</v>
      </c>
      <c r="J69" s="75">
        <v>90.54</v>
      </c>
      <c r="K69" s="2" t="s">
        <v>81</v>
      </c>
      <c r="L69" s="45" t="s">
        <v>102</v>
      </c>
      <c r="M69" s="4"/>
      <c r="N69" s="5">
        <f t="shared" si="12"/>
        <v>52.39</v>
      </c>
      <c r="O69" s="5">
        <f t="shared" si="13"/>
        <v>90.54</v>
      </c>
      <c r="P69" s="5" t="str">
        <f t="shared" si="14"/>
        <v>V</v>
      </c>
      <c r="Q69" s="5">
        <f t="shared" si="15"/>
        <v>38.150000000000006</v>
      </c>
      <c r="X69" s="26"/>
    </row>
    <row r="70" spans="1:24" ht="17.25" customHeight="1" x14ac:dyDescent="0.25">
      <c r="A70" s="5">
        <f t="shared" si="9"/>
        <v>-13.989999999999995</v>
      </c>
      <c r="B70" s="5" t="str">
        <f t="shared" si="8"/>
        <v>D</v>
      </c>
      <c r="C70" s="5">
        <f t="shared" si="10"/>
        <v>105.84</v>
      </c>
      <c r="D70" s="5">
        <f t="shared" si="11"/>
        <v>119.83</v>
      </c>
      <c r="E70" s="4"/>
      <c r="F70" s="45" t="s">
        <v>98</v>
      </c>
      <c r="G70" s="2" t="s">
        <v>88</v>
      </c>
      <c r="H70" s="66">
        <v>105.84</v>
      </c>
      <c r="I70" s="1" t="s">
        <v>52</v>
      </c>
      <c r="J70" s="75">
        <v>119.83</v>
      </c>
      <c r="K70" s="2" t="s">
        <v>87</v>
      </c>
      <c r="L70" s="45" t="s">
        <v>97</v>
      </c>
      <c r="M70" s="4"/>
      <c r="N70" s="5">
        <f t="shared" si="12"/>
        <v>105.84</v>
      </c>
      <c r="O70" s="5">
        <f t="shared" si="13"/>
        <v>119.83</v>
      </c>
      <c r="P70" s="5" t="str">
        <f t="shared" si="14"/>
        <v>V</v>
      </c>
      <c r="Q70" s="5">
        <f t="shared" si="15"/>
        <v>13.989999999999995</v>
      </c>
      <c r="X70" s="27"/>
    </row>
    <row r="71" spans="1:24" ht="17.25" customHeight="1" x14ac:dyDescent="0.25">
      <c r="A71" s="5">
        <f t="shared" si="9"/>
        <v>6.6599999999999966</v>
      </c>
      <c r="B71" s="5" t="str">
        <f t="shared" si="8"/>
        <v>V</v>
      </c>
      <c r="C71" s="5">
        <f t="shared" si="10"/>
        <v>86.94</v>
      </c>
      <c r="D71" s="5">
        <f t="shared" si="11"/>
        <v>80.28</v>
      </c>
      <c r="E71" s="4"/>
      <c r="F71" s="45" t="s">
        <v>72</v>
      </c>
      <c r="G71" s="2" t="s">
        <v>71</v>
      </c>
      <c r="H71" s="75">
        <v>86.94</v>
      </c>
      <c r="I71" s="1" t="s">
        <v>52</v>
      </c>
      <c r="J71" s="88">
        <v>80.28</v>
      </c>
      <c r="K71" s="2" t="s">
        <v>62</v>
      </c>
      <c r="L71" s="45" t="s">
        <v>63</v>
      </c>
      <c r="M71" s="4"/>
      <c r="N71" s="5">
        <f t="shared" si="12"/>
        <v>86.94</v>
      </c>
      <c r="O71" s="5">
        <f t="shared" si="13"/>
        <v>80.28</v>
      </c>
      <c r="P71" s="5" t="str">
        <f t="shared" si="14"/>
        <v>D</v>
      </c>
      <c r="Q71" s="5">
        <f t="shared" si="15"/>
        <v>-6.6599999999999966</v>
      </c>
      <c r="X71" s="26"/>
    </row>
    <row r="72" spans="1:24" ht="17.25" customHeight="1" x14ac:dyDescent="0.25">
      <c r="A72" s="5">
        <f t="shared" si="9"/>
        <v>-72.89</v>
      </c>
      <c r="B72" s="5" t="str">
        <f t="shared" si="8"/>
        <v>D</v>
      </c>
      <c r="C72" s="5">
        <f t="shared" si="10"/>
        <v>48.84</v>
      </c>
      <c r="D72" s="5">
        <f t="shared" si="11"/>
        <v>121.73</v>
      </c>
      <c r="E72" s="4"/>
      <c r="F72" s="45" t="s">
        <v>65</v>
      </c>
      <c r="G72" s="2" t="s">
        <v>66</v>
      </c>
      <c r="H72" s="66">
        <v>48.84</v>
      </c>
      <c r="I72" s="1" t="s">
        <v>52</v>
      </c>
      <c r="J72" s="75">
        <v>121.73</v>
      </c>
      <c r="K72" s="2" t="s">
        <v>79</v>
      </c>
      <c r="L72" s="45" t="s">
        <v>95</v>
      </c>
      <c r="M72" s="4"/>
      <c r="N72" s="5">
        <f t="shared" si="12"/>
        <v>48.84</v>
      </c>
      <c r="O72" s="5">
        <f t="shared" si="13"/>
        <v>121.73</v>
      </c>
      <c r="P72" s="5" t="str">
        <f t="shared" si="14"/>
        <v>V</v>
      </c>
      <c r="Q72" s="5">
        <f t="shared" si="15"/>
        <v>72.89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9"/>
        <v>23.069999999999993</v>
      </c>
      <c r="B75" s="5" t="str">
        <f t="shared" si="8"/>
        <v>V</v>
      </c>
      <c r="C75" s="5">
        <f t="shared" si="10"/>
        <v>101.58</v>
      </c>
      <c r="D75" s="5">
        <f t="shared" si="11"/>
        <v>78.510000000000005</v>
      </c>
      <c r="E75" s="4"/>
      <c r="F75" s="45" t="s">
        <v>92</v>
      </c>
      <c r="G75" s="2" t="s">
        <v>74</v>
      </c>
      <c r="H75" s="75">
        <v>101.58</v>
      </c>
      <c r="I75" s="2" t="s">
        <v>52</v>
      </c>
      <c r="J75" s="88">
        <v>78.510000000000005</v>
      </c>
      <c r="K75" s="2" t="s">
        <v>66</v>
      </c>
      <c r="L75" s="45" t="s">
        <v>65</v>
      </c>
      <c r="M75" s="4"/>
      <c r="N75" s="5">
        <f t="shared" si="12"/>
        <v>101.58</v>
      </c>
      <c r="O75" s="5">
        <f t="shared" si="13"/>
        <v>78.510000000000005</v>
      </c>
      <c r="P75" s="5" t="str">
        <f t="shared" si="14"/>
        <v>D</v>
      </c>
      <c r="Q75" s="5">
        <f t="shared" si="15"/>
        <v>-23.069999999999993</v>
      </c>
      <c r="X75" s="26"/>
    </row>
    <row r="76" spans="1:24" ht="17.25" customHeight="1" x14ac:dyDescent="0.25">
      <c r="A76" s="5">
        <f t="shared" si="9"/>
        <v>38.230000000000004</v>
      </c>
      <c r="B76" s="5" t="str">
        <f t="shared" si="8"/>
        <v>V</v>
      </c>
      <c r="C76" s="5">
        <f t="shared" si="10"/>
        <v>86.01</v>
      </c>
      <c r="D76" s="5">
        <f t="shared" si="11"/>
        <v>47.78</v>
      </c>
      <c r="E76" s="4"/>
      <c r="F76" s="45" t="s">
        <v>103</v>
      </c>
      <c r="G76" s="2" t="s">
        <v>82</v>
      </c>
      <c r="H76" s="75">
        <v>86.01</v>
      </c>
      <c r="I76" s="2" t="s">
        <v>52</v>
      </c>
      <c r="J76" s="88">
        <v>47.78</v>
      </c>
      <c r="K76" s="2" t="s">
        <v>88</v>
      </c>
      <c r="L76" s="45" t="s">
        <v>98</v>
      </c>
      <c r="M76" s="4"/>
      <c r="N76" s="5">
        <f t="shared" si="12"/>
        <v>86.01</v>
      </c>
      <c r="O76" s="5">
        <f t="shared" si="13"/>
        <v>47.78</v>
      </c>
      <c r="P76" s="5" t="str">
        <f t="shared" si="14"/>
        <v>D</v>
      </c>
      <c r="Q76" s="5">
        <f t="shared" si="15"/>
        <v>-38.230000000000004</v>
      </c>
      <c r="X76" s="26"/>
    </row>
    <row r="77" spans="1:24" ht="17.25" customHeight="1" x14ac:dyDescent="0.25">
      <c r="A77" s="5">
        <f t="shared" si="9"/>
        <v>84.06</v>
      </c>
      <c r="B77" s="5" t="str">
        <f t="shared" si="8"/>
        <v>V</v>
      </c>
      <c r="C77" s="5">
        <f t="shared" si="10"/>
        <v>84.06</v>
      </c>
      <c r="D77" s="5">
        <f t="shared" si="11"/>
        <v>0</v>
      </c>
      <c r="E77" s="4"/>
      <c r="F77" s="45" t="s">
        <v>102</v>
      </c>
      <c r="G77" s="2" t="s">
        <v>81</v>
      </c>
      <c r="H77" s="75">
        <v>84.06</v>
      </c>
      <c r="I77" s="2" t="s">
        <v>52</v>
      </c>
      <c r="J77" s="88">
        <v>0</v>
      </c>
      <c r="K77" s="2" t="s">
        <v>106</v>
      </c>
      <c r="L77" s="45" t="s">
        <v>70</v>
      </c>
      <c r="M77" s="4"/>
      <c r="N77" s="5">
        <f t="shared" si="12"/>
        <v>84.06</v>
      </c>
      <c r="O77" s="5">
        <f t="shared" si="13"/>
        <v>0</v>
      </c>
      <c r="P77" s="5" t="str">
        <f t="shared" si="14"/>
        <v>D</v>
      </c>
      <c r="Q77" s="5">
        <f t="shared" si="15"/>
        <v>-84.06</v>
      </c>
      <c r="X77" s="26"/>
    </row>
    <row r="78" spans="1:24" ht="17.25" customHeight="1" x14ac:dyDescent="0.25">
      <c r="A78" s="5">
        <f t="shared" si="9"/>
        <v>68.3</v>
      </c>
      <c r="B78" s="5" t="str">
        <f t="shared" si="8"/>
        <v>V</v>
      </c>
      <c r="C78" s="5">
        <f t="shared" si="10"/>
        <v>68.3</v>
      </c>
      <c r="D78" s="5">
        <f t="shared" si="11"/>
        <v>0</v>
      </c>
      <c r="E78" s="4"/>
      <c r="F78" s="45" t="s">
        <v>68</v>
      </c>
      <c r="G78" s="2" t="s">
        <v>69</v>
      </c>
      <c r="H78" s="75">
        <v>68.3</v>
      </c>
      <c r="I78" s="2" t="s">
        <v>52</v>
      </c>
      <c r="J78" s="88">
        <v>0</v>
      </c>
      <c r="K78" s="2" t="s">
        <v>77</v>
      </c>
      <c r="L78" s="45" t="s">
        <v>94</v>
      </c>
      <c r="M78" s="4"/>
      <c r="N78" s="5">
        <f t="shared" si="12"/>
        <v>68.3</v>
      </c>
      <c r="O78" s="5">
        <f t="shared" si="13"/>
        <v>0</v>
      </c>
      <c r="P78" s="5" t="str">
        <f t="shared" si="14"/>
        <v>D</v>
      </c>
      <c r="Q78" s="5">
        <f t="shared" si="15"/>
        <v>-68.3</v>
      </c>
      <c r="X78" s="26"/>
    </row>
    <row r="79" spans="1:24" ht="17.25" customHeight="1" x14ac:dyDescent="0.25">
      <c r="A79" s="5">
        <f t="shared" si="9"/>
        <v>29.810000000000002</v>
      </c>
      <c r="B79" s="5" t="str">
        <f t="shared" ref="B79:B142" si="16">_xlfn.IFS(A79&gt;=5,"V",A79&lt;=-5,"D",A79&lt;=-4.99,"E",A79&lt;=4.99,"E")</f>
        <v>V</v>
      </c>
      <c r="C79" s="5">
        <f t="shared" si="10"/>
        <v>93.75</v>
      </c>
      <c r="D79" s="5">
        <f t="shared" si="11"/>
        <v>63.94</v>
      </c>
      <c r="E79" s="4"/>
      <c r="F79" s="45" t="s">
        <v>96</v>
      </c>
      <c r="G79" s="2" t="s">
        <v>86</v>
      </c>
      <c r="H79" s="75">
        <v>93.75</v>
      </c>
      <c r="I79" s="2" t="s">
        <v>52</v>
      </c>
      <c r="J79" s="88">
        <v>63.94</v>
      </c>
      <c r="K79" s="2" t="s">
        <v>84</v>
      </c>
      <c r="L79" s="45" t="s">
        <v>100</v>
      </c>
      <c r="M79" s="4"/>
      <c r="N79" s="5">
        <f t="shared" si="12"/>
        <v>93.75</v>
      </c>
      <c r="O79" s="5">
        <f t="shared" si="13"/>
        <v>63.94</v>
      </c>
      <c r="P79" s="5" t="str">
        <f t="shared" si="14"/>
        <v>D</v>
      </c>
      <c r="Q79" s="5">
        <f t="shared" si="15"/>
        <v>-29.810000000000002</v>
      </c>
      <c r="X79" s="27"/>
    </row>
    <row r="80" spans="1:24" ht="17.25" customHeight="1" x14ac:dyDescent="0.25">
      <c r="A80" s="5">
        <f t="shared" si="9"/>
        <v>9.3499999999999943</v>
      </c>
      <c r="B80" s="5" t="str">
        <f t="shared" si="16"/>
        <v>V</v>
      </c>
      <c r="C80" s="5">
        <f t="shared" si="10"/>
        <v>100.55</v>
      </c>
      <c r="D80" s="5">
        <f t="shared" si="11"/>
        <v>91.2</v>
      </c>
      <c r="E80" s="4"/>
      <c r="F80" s="45" t="s">
        <v>101</v>
      </c>
      <c r="G80" s="2" t="s">
        <v>61</v>
      </c>
      <c r="H80" s="75">
        <v>100.55</v>
      </c>
      <c r="I80" s="2" t="s">
        <v>52</v>
      </c>
      <c r="J80" s="88">
        <v>91.2</v>
      </c>
      <c r="K80" s="2" t="s">
        <v>87</v>
      </c>
      <c r="L80" s="45" t="s">
        <v>97</v>
      </c>
      <c r="M80" s="4"/>
      <c r="N80" s="5">
        <f t="shared" si="12"/>
        <v>100.55</v>
      </c>
      <c r="O80" s="5">
        <f t="shared" si="13"/>
        <v>91.2</v>
      </c>
      <c r="P80" s="5" t="str">
        <f t="shared" si="14"/>
        <v>D</v>
      </c>
      <c r="Q80" s="5">
        <f t="shared" si="15"/>
        <v>-9.3499999999999943</v>
      </c>
      <c r="X80" s="26"/>
    </row>
    <row r="81" spans="1:34" ht="17.25" customHeight="1" x14ac:dyDescent="0.25">
      <c r="A81" s="5">
        <f t="shared" si="9"/>
        <v>-59.12</v>
      </c>
      <c r="B81" s="5" t="str">
        <f t="shared" si="16"/>
        <v>D</v>
      </c>
      <c r="C81" s="5">
        <f t="shared" si="10"/>
        <v>0</v>
      </c>
      <c r="D81" s="5">
        <f t="shared" si="11"/>
        <v>59.12</v>
      </c>
      <c r="E81" s="4"/>
      <c r="F81" s="45" t="s">
        <v>99</v>
      </c>
      <c r="G81" s="2" t="s">
        <v>60</v>
      </c>
      <c r="H81" s="88">
        <v>0</v>
      </c>
      <c r="I81" s="2" t="s">
        <v>52</v>
      </c>
      <c r="J81" s="75">
        <v>59.12</v>
      </c>
      <c r="K81" s="2" t="s">
        <v>80</v>
      </c>
      <c r="L81" s="45" t="s">
        <v>105</v>
      </c>
      <c r="M81" s="4"/>
      <c r="N81" s="5">
        <f t="shared" si="12"/>
        <v>0</v>
      </c>
      <c r="O81" s="5">
        <f t="shared" si="13"/>
        <v>59.12</v>
      </c>
      <c r="P81" s="5" t="str">
        <f t="shared" si="14"/>
        <v>V</v>
      </c>
      <c r="Q81" s="5">
        <f t="shared" si="15"/>
        <v>59.12</v>
      </c>
      <c r="X81" s="26"/>
    </row>
    <row r="82" spans="1:34" ht="17.25" customHeight="1" x14ac:dyDescent="0.25">
      <c r="A82" s="5">
        <f t="shared" si="9"/>
        <v>-4.5400000000000063</v>
      </c>
      <c r="B82" s="5" t="str">
        <f t="shared" si="16"/>
        <v>E</v>
      </c>
      <c r="C82" s="5">
        <f t="shared" si="10"/>
        <v>70.709999999999994</v>
      </c>
      <c r="D82" s="5">
        <f t="shared" si="11"/>
        <v>75.25</v>
      </c>
      <c r="E82" s="4"/>
      <c r="F82" s="45" t="s">
        <v>104</v>
      </c>
      <c r="G82" s="2" t="s">
        <v>75</v>
      </c>
      <c r="H82" s="76">
        <v>70.709999999999994</v>
      </c>
      <c r="I82" s="2" t="s">
        <v>52</v>
      </c>
      <c r="J82" s="76">
        <v>75.25</v>
      </c>
      <c r="K82" s="2" t="s">
        <v>62</v>
      </c>
      <c r="L82" s="45" t="s">
        <v>63</v>
      </c>
      <c r="M82" s="4"/>
      <c r="N82" s="5">
        <f t="shared" si="12"/>
        <v>70.709999999999994</v>
      </c>
      <c r="O82" s="5">
        <f t="shared" si="13"/>
        <v>75.25</v>
      </c>
      <c r="P82" s="5" t="str">
        <f t="shared" si="14"/>
        <v>E</v>
      </c>
      <c r="Q82" s="5">
        <f t="shared" si="15"/>
        <v>4.5400000000000063</v>
      </c>
      <c r="X82" s="26"/>
    </row>
    <row r="83" spans="1:34" ht="17.25" customHeight="1" x14ac:dyDescent="0.25">
      <c r="A83" s="5">
        <f t="shared" si="9"/>
        <v>37.220000000000006</v>
      </c>
      <c r="B83" s="5" t="str">
        <f t="shared" si="16"/>
        <v>V</v>
      </c>
      <c r="C83" s="5">
        <f t="shared" si="10"/>
        <v>100.95</v>
      </c>
      <c r="D83" s="5">
        <f t="shared" si="11"/>
        <v>63.73</v>
      </c>
      <c r="E83" s="4"/>
      <c r="F83" s="45" t="s">
        <v>95</v>
      </c>
      <c r="G83" s="2" t="s">
        <v>79</v>
      </c>
      <c r="H83" s="75">
        <v>100.95</v>
      </c>
      <c r="I83" s="2" t="s">
        <v>52</v>
      </c>
      <c r="J83" s="88">
        <v>63.73</v>
      </c>
      <c r="K83" s="2" t="s">
        <v>71</v>
      </c>
      <c r="L83" s="45" t="s">
        <v>72</v>
      </c>
      <c r="M83" s="4"/>
      <c r="N83" s="5">
        <f t="shared" si="12"/>
        <v>100.95</v>
      </c>
      <c r="O83" s="5">
        <f t="shared" si="13"/>
        <v>63.73</v>
      </c>
      <c r="P83" s="5" t="str">
        <f t="shared" si="14"/>
        <v>D</v>
      </c>
      <c r="Q83" s="5">
        <f t="shared" si="15"/>
        <v>-37.220000000000006</v>
      </c>
      <c r="X83" s="26"/>
    </row>
    <row r="84" spans="1:34" ht="17.25" customHeight="1" x14ac:dyDescent="0.25">
      <c r="A84" s="5">
        <f t="shared" si="9"/>
        <v>42.309999999999995</v>
      </c>
      <c r="B84" s="5" t="str">
        <f t="shared" si="16"/>
        <v>V</v>
      </c>
      <c r="C84" s="5">
        <f t="shared" si="10"/>
        <v>87.6</v>
      </c>
      <c r="D84" s="5">
        <f t="shared" si="11"/>
        <v>45.29</v>
      </c>
      <c r="E84" s="4"/>
      <c r="F84" s="45" t="s">
        <v>93</v>
      </c>
      <c r="G84" s="2" t="s">
        <v>76</v>
      </c>
      <c r="H84" s="75">
        <v>87.6</v>
      </c>
      <c r="I84" s="2" t="s">
        <v>52</v>
      </c>
      <c r="J84" s="88">
        <v>45.29</v>
      </c>
      <c r="K84" s="2" t="s">
        <v>64</v>
      </c>
      <c r="L84" s="45" t="s">
        <v>67</v>
      </c>
      <c r="M84" s="4"/>
      <c r="N84" s="5">
        <f t="shared" si="12"/>
        <v>87.6</v>
      </c>
      <c r="O84" s="5">
        <f t="shared" si="13"/>
        <v>45.29</v>
      </c>
      <c r="P84" s="5" t="str">
        <f t="shared" si="14"/>
        <v>D</v>
      </c>
      <c r="Q84" s="5">
        <f t="shared" si="15"/>
        <v>-42.309999999999995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9"/>
        <v>25.880000000000003</v>
      </c>
      <c r="B87" s="5" t="str">
        <f t="shared" si="16"/>
        <v>V</v>
      </c>
      <c r="C87" s="5">
        <f t="shared" si="10"/>
        <v>76.17</v>
      </c>
      <c r="D87" s="5">
        <f t="shared" si="11"/>
        <v>50.29</v>
      </c>
      <c r="E87" s="4"/>
      <c r="F87" s="45" t="s">
        <v>105</v>
      </c>
      <c r="G87" s="2" t="s">
        <v>80</v>
      </c>
      <c r="H87" s="75">
        <v>76.17</v>
      </c>
      <c r="I87" s="2" t="s">
        <v>52</v>
      </c>
      <c r="J87" s="88">
        <v>50.29</v>
      </c>
      <c r="K87" s="2" t="s">
        <v>71</v>
      </c>
      <c r="L87" s="45" t="s">
        <v>72</v>
      </c>
      <c r="M87" s="4"/>
      <c r="N87" s="5">
        <f t="shared" si="12"/>
        <v>76.17</v>
      </c>
      <c r="O87" s="5">
        <f t="shared" si="13"/>
        <v>50.29</v>
      </c>
      <c r="P87" s="5" t="str">
        <f t="shared" si="14"/>
        <v>D</v>
      </c>
      <c r="Q87" s="5">
        <f t="shared" si="15"/>
        <v>-25.880000000000003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9"/>
        <v>-37.25</v>
      </c>
      <c r="B88" s="5" t="str">
        <f t="shared" si="16"/>
        <v>D</v>
      </c>
      <c r="C88" s="5">
        <f t="shared" si="10"/>
        <v>69.89</v>
      </c>
      <c r="D88" s="5">
        <f t="shared" si="11"/>
        <v>107.14</v>
      </c>
      <c r="E88" s="4"/>
      <c r="F88" s="45" t="s">
        <v>94</v>
      </c>
      <c r="G88" s="2" t="s">
        <v>77</v>
      </c>
      <c r="H88" s="88">
        <v>69.89</v>
      </c>
      <c r="I88" s="2" t="s">
        <v>52</v>
      </c>
      <c r="J88" s="75">
        <v>107.14</v>
      </c>
      <c r="K88" s="2" t="s">
        <v>75</v>
      </c>
      <c r="L88" s="45" t="s">
        <v>104</v>
      </c>
      <c r="M88" s="4"/>
      <c r="N88" s="5">
        <f t="shared" si="12"/>
        <v>69.89</v>
      </c>
      <c r="O88" s="5">
        <f t="shared" si="13"/>
        <v>107.14</v>
      </c>
      <c r="P88" s="5" t="str">
        <f t="shared" si="14"/>
        <v>V</v>
      </c>
      <c r="Q88" s="5">
        <f t="shared" si="15"/>
        <v>37.25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9"/>
        <v>14.990000000000002</v>
      </c>
      <c r="B89" s="5" t="str">
        <f t="shared" si="16"/>
        <v>V</v>
      </c>
      <c r="C89" s="5">
        <f t="shared" si="10"/>
        <v>77.34</v>
      </c>
      <c r="D89" s="5">
        <f t="shared" si="11"/>
        <v>62.35</v>
      </c>
      <c r="E89" s="4"/>
      <c r="F89" s="45" t="s">
        <v>100</v>
      </c>
      <c r="G89" s="2" t="s">
        <v>84</v>
      </c>
      <c r="H89" s="75">
        <v>77.34</v>
      </c>
      <c r="I89" s="2" t="s">
        <v>52</v>
      </c>
      <c r="J89" s="88">
        <v>62.35</v>
      </c>
      <c r="K89" s="2" t="s">
        <v>74</v>
      </c>
      <c r="L89" s="45" t="s">
        <v>92</v>
      </c>
      <c r="M89" s="4"/>
      <c r="N89" s="5">
        <f t="shared" si="12"/>
        <v>77.34</v>
      </c>
      <c r="O89" s="5">
        <f t="shared" si="13"/>
        <v>62.35</v>
      </c>
      <c r="P89" s="5" t="str">
        <f t="shared" si="14"/>
        <v>D</v>
      </c>
      <c r="Q89" s="5">
        <f t="shared" si="15"/>
        <v>-14.990000000000002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9"/>
        <v>21.5</v>
      </c>
      <c r="B90" s="5" t="str">
        <f t="shared" si="16"/>
        <v>V</v>
      </c>
      <c r="C90" s="5">
        <f t="shared" si="10"/>
        <v>78.09</v>
      </c>
      <c r="D90" s="5">
        <f t="shared" si="11"/>
        <v>56.59</v>
      </c>
      <c r="E90" s="4"/>
      <c r="F90" s="45" t="s">
        <v>63</v>
      </c>
      <c r="G90" s="2" t="s">
        <v>62</v>
      </c>
      <c r="H90" s="75">
        <v>78.09</v>
      </c>
      <c r="I90" s="2" t="s">
        <v>52</v>
      </c>
      <c r="J90" s="88">
        <v>56.59</v>
      </c>
      <c r="K90" s="2" t="s">
        <v>81</v>
      </c>
      <c r="L90" s="45" t="s">
        <v>102</v>
      </c>
      <c r="M90" s="4"/>
      <c r="N90" s="5">
        <f t="shared" si="12"/>
        <v>78.09</v>
      </c>
      <c r="O90" s="5">
        <f t="shared" si="13"/>
        <v>56.59</v>
      </c>
      <c r="P90" s="5" t="str">
        <f t="shared" si="14"/>
        <v>D</v>
      </c>
      <c r="Q90" s="5">
        <f t="shared" si="15"/>
        <v>-21.5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9"/>
        <v>-1.8999999999999915</v>
      </c>
      <c r="B91" s="5" t="str">
        <f t="shared" si="16"/>
        <v>E</v>
      </c>
      <c r="C91" s="5">
        <f t="shared" si="10"/>
        <v>75.34</v>
      </c>
      <c r="D91" s="5">
        <f t="shared" si="11"/>
        <v>77.239999999999995</v>
      </c>
      <c r="E91" s="4"/>
      <c r="F91" s="45" t="s">
        <v>67</v>
      </c>
      <c r="G91" s="2" t="s">
        <v>64</v>
      </c>
      <c r="H91" s="76">
        <v>75.34</v>
      </c>
      <c r="I91" s="2" t="s">
        <v>52</v>
      </c>
      <c r="J91" s="76">
        <v>77.239999999999995</v>
      </c>
      <c r="K91" s="2" t="s">
        <v>82</v>
      </c>
      <c r="L91" s="45" t="s">
        <v>103</v>
      </c>
      <c r="M91" s="4"/>
      <c r="N91" s="5">
        <f t="shared" si="12"/>
        <v>75.34</v>
      </c>
      <c r="O91" s="5">
        <f t="shared" si="13"/>
        <v>77.239999999999995</v>
      </c>
      <c r="P91" s="5" t="str">
        <f t="shared" si="14"/>
        <v>E</v>
      </c>
      <c r="Q91" s="5">
        <f t="shared" si="15"/>
        <v>1.8999999999999915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9"/>
        <v>4.3400000000000034</v>
      </c>
      <c r="B92" s="5" t="str">
        <f t="shared" si="16"/>
        <v>E</v>
      </c>
      <c r="C92" s="5">
        <f t="shared" si="10"/>
        <v>60.34</v>
      </c>
      <c r="D92" s="5">
        <f t="shared" si="11"/>
        <v>56</v>
      </c>
      <c r="E92" s="4"/>
      <c r="F92" s="45" t="s">
        <v>70</v>
      </c>
      <c r="G92" s="2" t="s">
        <v>106</v>
      </c>
      <c r="H92" s="76">
        <v>60.34</v>
      </c>
      <c r="I92" s="2" t="s">
        <v>52</v>
      </c>
      <c r="J92" s="76">
        <v>56</v>
      </c>
      <c r="K92" s="2" t="s">
        <v>60</v>
      </c>
      <c r="L92" s="45" t="s">
        <v>99</v>
      </c>
      <c r="M92" s="4"/>
      <c r="N92" s="5">
        <f t="shared" si="12"/>
        <v>60.34</v>
      </c>
      <c r="O92" s="5">
        <f t="shared" si="13"/>
        <v>56</v>
      </c>
      <c r="P92" s="5" t="str">
        <f t="shared" si="14"/>
        <v>E</v>
      </c>
      <c r="Q92" s="5">
        <f t="shared" si="15"/>
        <v>-4.3400000000000034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9"/>
        <v>3.1400000000000006</v>
      </c>
      <c r="B93" s="5" t="str">
        <f t="shared" si="16"/>
        <v>E</v>
      </c>
      <c r="C93" s="5">
        <f t="shared" si="10"/>
        <v>69.040000000000006</v>
      </c>
      <c r="D93" s="5">
        <f t="shared" si="11"/>
        <v>65.900000000000006</v>
      </c>
      <c r="E93" s="4"/>
      <c r="F93" s="45" t="s">
        <v>97</v>
      </c>
      <c r="G93" s="2" t="s">
        <v>87</v>
      </c>
      <c r="H93" s="76">
        <v>69.040000000000006</v>
      </c>
      <c r="I93" s="2" t="s">
        <v>52</v>
      </c>
      <c r="J93" s="76">
        <v>65.900000000000006</v>
      </c>
      <c r="K93" s="2" t="s">
        <v>76</v>
      </c>
      <c r="L93" s="45" t="s">
        <v>93</v>
      </c>
      <c r="M93" s="4"/>
      <c r="N93" s="5">
        <f t="shared" si="12"/>
        <v>69.040000000000006</v>
      </c>
      <c r="O93" s="5">
        <f t="shared" si="13"/>
        <v>65.900000000000006</v>
      </c>
      <c r="P93" s="5" t="str">
        <f t="shared" si="14"/>
        <v>E</v>
      </c>
      <c r="Q93" s="5">
        <f t="shared" si="15"/>
        <v>-3.1400000000000006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9"/>
        <v>11.749999999999993</v>
      </c>
      <c r="B94" s="5" t="str">
        <f t="shared" si="16"/>
        <v>V</v>
      </c>
      <c r="C94" s="5">
        <f t="shared" si="10"/>
        <v>64.239999999999995</v>
      </c>
      <c r="D94" s="5">
        <f t="shared" si="11"/>
        <v>52.49</v>
      </c>
      <c r="E94" s="4"/>
      <c r="F94" s="45" t="s">
        <v>98</v>
      </c>
      <c r="G94" s="2" t="s">
        <v>88</v>
      </c>
      <c r="H94" s="75">
        <v>64.239999999999995</v>
      </c>
      <c r="I94" s="2" t="s">
        <v>52</v>
      </c>
      <c r="J94" s="88">
        <v>52.49</v>
      </c>
      <c r="K94" s="2" t="s">
        <v>86</v>
      </c>
      <c r="L94" s="45" t="s">
        <v>96</v>
      </c>
      <c r="M94" s="4"/>
      <c r="N94" s="5">
        <f t="shared" si="12"/>
        <v>64.239999999999995</v>
      </c>
      <c r="O94" s="5">
        <f t="shared" si="13"/>
        <v>52.49</v>
      </c>
      <c r="P94" s="5" t="str">
        <f t="shared" si="14"/>
        <v>D</v>
      </c>
      <c r="Q94" s="5">
        <f t="shared" si="15"/>
        <v>-11.749999999999993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9"/>
        <v>2</v>
      </c>
      <c r="B95" s="5" t="str">
        <f t="shared" si="16"/>
        <v>E</v>
      </c>
      <c r="C95" s="5">
        <f t="shared" si="10"/>
        <v>87.51</v>
      </c>
      <c r="D95" s="5">
        <f t="shared" si="11"/>
        <v>85.51</v>
      </c>
      <c r="E95" s="4"/>
      <c r="F95" s="45" t="s">
        <v>95</v>
      </c>
      <c r="G95" s="2" t="s">
        <v>79</v>
      </c>
      <c r="H95" s="76">
        <v>87.51</v>
      </c>
      <c r="I95" s="2" t="s">
        <v>52</v>
      </c>
      <c r="J95" s="76">
        <v>85.51</v>
      </c>
      <c r="K95" s="2" t="s">
        <v>69</v>
      </c>
      <c r="L95" s="45" t="s">
        <v>68</v>
      </c>
      <c r="M95" s="4"/>
      <c r="N95" s="5">
        <f t="shared" si="12"/>
        <v>87.51</v>
      </c>
      <c r="O95" s="5">
        <f t="shared" si="13"/>
        <v>85.51</v>
      </c>
      <c r="P95" s="5" t="str">
        <f t="shared" si="14"/>
        <v>E</v>
      </c>
      <c r="Q95" s="5">
        <f t="shared" si="15"/>
        <v>-2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9"/>
        <v>-0.65999999999999659</v>
      </c>
      <c r="B96" s="5" t="str">
        <f t="shared" si="16"/>
        <v>E</v>
      </c>
      <c r="C96" s="5">
        <f t="shared" si="10"/>
        <v>73.75</v>
      </c>
      <c r="D96" s="5">
        <f t="shared" si="11"/>
        <v>74.41</v>
      </c>
      <c r="E96" s="4"/>
      <c r="F96" s="45" t="s">
        <v>65</v>
      </c>
      <c r="G96" s="2" t="s">
        <v>66</v>
      </c>
      <c r="H96" s="76">
        <v>73.75</v>
      </c>
      <c r="I96" s="2" t="s">
        <v>52</v>
      </c>
      <c r="J96" s="76">
        <v>74.41</v>
      </c>
      <c r="K96" s="2" t="s">
        <v>61</v>
      </c>
      <c r="L96" s="45" t="s">
        <v>101</v>
      </c>
      <c r="M96" s="4"/>
      <c r="N96" s="5">
        <f t="shared" si="12"/>
        <v>73.75</v>
      </c>
      <c r="O96" s="5">
        <f t="shared" si="13"/>
        <v>74.41</v>
      </c>
      <c r="P96" s="5" t="str">
        <f t="shared" si="14"/>
        <v>E</v>
      </c>
      <c r="Q96" s="5">
        <f t="shared" si="15"/>
        <v>0.65999999999999659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9"/>
        <v>9.0300000000000011</v>
      </c>
      <c r="B99" s="5" t="str">
        <f t="shared" si="16"/>
        <v>V</v>
      </c>
      <c r="C99" s="5">
        <f t="shared" si="10"/>
        <v>90.8</v>
      </c>
      <c r="D99" s="5">
        <f t="shared" si="11"/>
        <v>81.77</v>
      </c>
      <c r="E99" s="4"/>
      <c r="F99" s="45" t="s">
        <v>92</v>
      </c>
      <c r="G99" s="2" t="s">
        <v>74</v>
      </c>
      <c r="H99" s="75">
        <v>90.8</v>
      </c>
      <c r="I99" s="2" t="s">
        <v>52</v>
      </c>
      <c r="J99" s="88">
        <v>81.77</v>
      </c>
      <c r="K99" s="2" t="s">
        <v>80</v>
      </c>
      <c r="L99" s="45" t="s">
        <v>105</v>
      </c>
      <c r="M99" s="4"/>
      <c r="N99" s="5">
        <f t="shared" si="12"/>
        <v>90.8</v>
      </c>
      <c r="O99" s="5">
        <f t="shared" si="13"/>
        <v>81.77</v>
      </c>
      <c r="P99" s="5" t="str">
        <f t="shared" si="14"/>
        <v>D</v>
      </c>
      <c r="Q99" s="5">
        <f t="shared" si="15"/>
        <v>-9.0300000000000011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9"/>
        <v>-87.27</v>
      </c>
      <c r="B100" s="5" t="str">
        <f t="shared" si="16"/>
        <v>D</v>
      </c>
      <c r="C100" s="5">
        <f t="shared" si="10"/>
        <v>0</v>
      </c>
      <c r="D100" s="5">
        <f t="shared" si="11"/>
        <v>87.27</v>
      </c>
      <c r="E100" s="4"/>
      <c r="F100" s="45" t="s">
        <v>94</v>
      </c>
      <c r="G100" s="2" t="s">
        <v>77</v>
      </c>
      <c r="H100" s="88">
        <v>0</v>
      </c>
      <c r="I100" s="2" t="s">
        <v>52</v>
      </c>
      <c r="J100" s="75">
        <v>87.27</v>
      </c>
      <c r="K100" s="2" t="s">
        <v>66</v>
      </c>
      <c r="L100" s="45" t="s">
        <v>65</v>
      </c>
      <c r="M100" s="4"/>
      <c r="N100" s="5">
        <f t="shared" si="12"/>
        <v>0</v>
      </c>
      <c r="O100" s="5">
        <f t="shared" si="13"/>
        <v>87.27</v>
      </c>
      <c r="P100" s="5" t="str">
        <f t="shared" si="14"/>
        <v>V</v>
      </c>
      <c r="Q100" s="5">
        <f t="shared" si="15"/>
        <v>87.27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9"/>
        <v>9.710000000000008</v>
      </c>
      <c r="B101" s="5" t="str">
        <f t="shared" si="16"/>
        <v>V</v>
      </c>
      <c r="C101" s="5">
        <f t="shared" si="10"/>
        <v>82.03</v>
      </c>
      <c r="D101" s="5">
        <f t="shared" si="11"/>
        <v>72.319999999999993</v>
      </c>
      <c r="E101" s="4"/>
      <c r="F101" s="45" t="s">
        <v>100</v>
      </c>
      <c r="G101" s="2" t="s">
        <v>84</v>
      </c>
      <c r="H101" s="75">
        <v>82.03</v>
      </c>
      <c r="I101" s="2" t="s">
        <v>52</v>
      </c>
      <c r="J101" s="88">
        <v>72.319999999999993</v>
      </c>
      <c r="K101" s="2" t="s">
        <v>62</v>
      </c>
      <c r="L101" s="45" t="s">
        <v>63</v>
      </c>
      <c r="M101" s="4"/>
      <c r="N101" s="5">
        <f t="shared" si="12"/>
        <v>82.03</v>
      </c>
      <c r="O101" s="5">
        <f t="shared" si="13"/>
        <v>72.319999999999993</v>
      </c>
      <c r="P101" s="5" t="str">
        <f t="shared" si="14"/>
        <v>D</v>
      </c>
      <c r="Q101" s="5">
        <f t="shared" si="15"/>
        <v>-9.710000000000008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9"/>
        <v>93.95</v>
      </c>
      <c r="B102" s="5" t="str">
        <f t="shared" si="16"/>
        <v>V</v>
      </c>
      <c r="C102" s="5">
        <f t="shared" si="10"/>
        <v>93.95</v>
      </c>
      <c r="D102" s="5">
        <f t="shared" si="11"/>
        <v>0</v>
      </c>
      <c r="E102" s="4"/>
      <c r="F102" s="45" t="s">
        <v>68</v>
      </c>
      <c r="G102" s="2" t="s">
        <v>69</v>
      </c>
      <c r="H102" s="75">
        <v>93.95</v>
      </c>
      <c r="I102" s="2" t="s">
        <v>52</v>
      </c>
      <c r="J102" s="88">
        <v>0</v>
      </c>
      <c r="K102" s="2" t="s">
        <v>86</v>
      </c>
      <c r="L102" s="45" t="s">
        <v>96</v>
      </c>
      <c r="M102" s="4"/>
      <c r="N102" s="5">
        <f t="shared" si="12"/>
        <v>93.95</v>
      </c>
      <c r="O102" s="5">
        <f t="shared" si="13"/>
        <v>0</v>
      </c>
      <c r="P102" s="5" t="str">
        <f t="shared" si="14"/>
        <v>D</v>
      </c>
      <c r="Q102" s="5">
        <f t="shared" si="15"/>
        <v>-93.95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9"/>
        <v>-6.3300000000000054</v>
      </c>
      <c r="B103" s="5" t="str">
        <f t="shared" si="16"/>
        <v>D</v>
      </c>
      <c r="C103" s="5">
        <f t="shared" si="10"/>
        <v>63.07</v>
      </c>
      <c r="D103" s="5">
        <f t="shared" si="11"/>
        <v>69.400000000000006</v>
      </c>
      <c r="E103" s="4"/>
      <c r="F103" s="45" t="s">
        <v>67</v>
      </c>
      <c r="G103" s="2" t="s">
        <v>64</v>
      </c>
      <c r="H103" s="88">
        <v>63.07</v>
      </c>
      <c r="I103" s="2" t="s">
        <v>52</v>
      </c>
      <c r="J103" s="75">
        <v>69.400000000000006</v>
      </c>
      <c r="K103" s="2" t="s">
        <v>81</v>
      </c>
      <c r="L103" s="45" t="s">
        <v>102</v>
      </c>
      <c r="M103" s="4"/>
      <c r="N103" s="5">
        <f t="shared" si="12"/>
        <v>63.07</v>
      </c>
      <c r="O103" s="5">
        <f t="shared" si="13"/>
        <v>69.400000000000006</v>
      </c>
      <c r="P103" s="5" t="str">
        <f t="shared" si="14"/>
        <v>V</v>
      </c>
      <c r="Q103" s="5">
        <f t="shared" si="15"/>
        <v>6.3300000000000054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9"/>
        <v>-45.429999999999993</v>
      </c>
      <c r="B104" s="5" t="str">
        <f t="shared" si="16"/>
        <v>D</v>
      </c>
      <c r="C104" s="5">
        <f t="shared" si="10"/>
        <v>79.17</v>
      </c>
      <c r="D104" s="5">
        <f t="shared" si="11"/>
        <v>124.6</v>
      </c>
      <c r="E104" s="4"/>
      <c r="F104" s="45" t="s">
        <v>70</v>
      </c>
      <c r="G104" s="2" t="s">
        <v>106</v>
      </c>
      <c r="H104" s="88">
        <v>79.17</v>
      </c>
      <c r="I104" s="2" t="s">
        <v>52</v>
      </c>
      <c r="J104" s="75">
        <v>124.6</v>
      </c>
      <c r="K104" s="2" t="s">
        <v>79</v>
      </c>
      <c r="L104" s="45" t="s">
        <v>95</v>
      </c>
      <c r="M104" s="4"/>
      <c r="N104" s="5">
        <f t="shared" si="12"/>
        <v>79.17</v>
      </c>
      <c r="O104" s="5">
        <f t="shared" si="13"/>
        <v>124.6</v>
      </c>
      <c r="P104" s="5" t="str">
        <f t="shared" si="14"/>
        <v>V</v>
      </c>
      <c r="Q104" s="5">
        <f t="shared" si="15"/>
        <v>45.429999999999993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9"/>
        <v>-78.17</v>
      </c>
      <c r="B105" s="5" t="str">
        <f t="shared" si="16"/>
        <v>D</v>
      </c>
      <c r="C105" s="5">
        <f t="shared" si="10"/>
        <v>0</v>
      </c>
      <c r="D105" s="5">
        <f t="shared" si="11"/>
        <v>78.17</v>
      </c>
      <c r="E105" s="4"/>
      <c r="F105" s="45" t="s">
        <v>99</v>
      </c>
      <c r="G105" s="2" t="s">
        <v>60</v>
      </c>
      <c r="H105" s="88">
        <v>0</v>
      </c>
      <c r="I105" s="2" t="s">
        <v>52</v>
      </c>
      <c r="J105" s="75">
        <v>78.17</v>
      </c>
      <c r="K105" s="2" t="s">
        <v>61</v>
      </c>
      <c r="L105" s="45" t="s">
        <v>101</v>
      </c>
      <c r="M105" s="4"/>
      <c r="N105" s="5">
        <f t="shared" si="12"/>
        <v>0</v>
      </c>
      <c r="O105" s="5">
        <f t="shared" si="13"/>
        <v>78.17</v>
      </c>
      <c r="P105" s="5" t="str">
        <f t="shared" si="14"/>
        <v>V</v>
      </c>
      <c r="Q105" s="5">
        <f t="shared" si="15"/>
        <v>78.17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9"/>
        <v>15.75</v>
      </c>
      <c r="B106" s="5" t="str">
        <f t="shared" si="16"/>
        <v>V</v>
      </c>
      <c r="C106" s="5">
        <f t="shared" si="10"/>
        <v>88.67</v>
      </c>
      <c r="D106" s="5">
        <f t="shared" si="11"/>
        <v>72.92</v>
      </c>
      <c r="E106" s="4"/>
      <c r="F106" s="45" t="s">
        <v>104</v>
      </c>
      <c r="G106" s="2" t="s">
        <v>75</v>
      </c>
      <c r="H106" s="75">
        <v>88.67</v>
      </c>
      <c r="I106" s="2" t="s">
        <v>52</v>
      </c>
      <c r="J106" s="88">
        <v>72.92</v>
      </c>
      <c r="K106" s="2" t="s">
        <v>82</v>
      </c>
      <c r="L106" s="45" t="s">
        <v>103</v>
      </c>
      <c r="M106" s="4"/>
      <c r="N106" s="5">
        <f t="shared" si="12"/>
        <v>88.67</v>
      </c>
      <c r="O106" s="5">
        <f t="shared" si="13"/>
        <v>72.92</v>
      </c>
      <c r="P106" s="5" t="str">
        <f t="shared" si="14"/>
        <v>D</v>
      </c>
      <c r="Q106" s="5">
        <f t="shared" si="15"/>
        <v>-15.75</v>
      </c>
    </row>
    <row r="107" spans="1:34" ht="17.25" customHeight="1" x14ac:dyDescent="0.25">
      <c r="A107" s="5">
        <f t="shared" si="9"/>
        <v>6.7999999999999972</v>
      </c>
      <c r="B107" s="5" t="str">
        <f t="shared" si="16"/>
        <v>V</v>
      </c>
      <c r="C107" s="5">
        <f t="shared" si="10"/>
        <v>96.27</v>
      </c>
      <c r="D107" s="5">
        <f t="shared" si="11"/>
        <v>89.47</v>
      </c>
      <c r="E107" s="4"/>
      <c r="F107" s="45" t="s">
        <v>72</v>
      </c>
      <c r="G107" s="2" t="s">
        <v>71</v>
      </c>
      <c r="H107" s="75">
        <v>96.27</v>
      </c>
      <c r="I107" s="2" t="s">
        <v>52</v>
      </c>
      <c r="J107" s="88">
        <v>89.47</v>
      </c>
      <c r="K107" s="2" t="s">
        <v>87</v>
      </c>
      <c r="L107" s="45" t="s">
        <v>97</v>
      </c>
      <c r="M107" s="4"/>
      <c r="N107" s="5">
        <f t="shared" si="12"/>
        <v>96.27</v>
      </c>
      <c r="O107" s="5">
        <f t="shared" si="13"/>
        <v>89.47</v>
      </c>
      <c r="P107" s="5" t="str">
        <f t="shared" si="14"/>
        <v>D</v>
      </c>
      <c r="Q107" s="5">
        <f t="shared" si="15"/>
        <v>-6.7999999999999972</v>
      </c>
    </row>
    <row r="108" spans="1:34" ht="17.25" customHeight="1" x14ac:dyDescent="0.25">
      <c r="A108" s="5">
        <f t="shared" si="9"/>
        <v>33.799999999999997</v>
      </c>
      <c r="B108" s="5" t="str">
        <f t="shared" si="16"/>
        <v>V</v>
      </c>
      <c r="C108" s="5">
        <f t="shared" si="10"/>
        <v>96.77</v>
      </c>
      <c r="D108" s="5">
        <f t="shared" si="11"/>
        <v>62.97</v>
      </c>
      <c r="E108" s="4"/>
      <c r="F108" s="45" t="s">
        <v>93</v>
      </c>
      <c r="G108" s="2" t="s">
        <v>76</v>
      </c>
      <c r="H108" s="75">
        <v>96.77</v>
      </c>
      <c r="I108" s="2" t="s">
        <v>52</v>
      </c>
      <c r="J108" s="88">
        <v>62.97</v>
      </c>
      <c r="K108" s="2" t="s">
        <v>88</v>
      </c>
      <c r="L108" s="45" t="s">
        <v>98</v>
      </c>
      <c r="M108" s="4"/>
      <c r="N108" s="5">
        <f t="shared" si="12"/>
        <v>96.77</v>
      </c>
      <c r="O108" s="5">
        <f t="shared" si="13"/>
        <v>62.97</v>
      </c>
      <c r="P108" s="5" t="str">
        <f t="shared" si="14"/>
        <v>D</v>
      </c>
      <c r="Q108" s="5">
        <f t="shared" si="15"/>
        <v>-33.799999999999997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11.820000000000007</v>
      </c>
      <c r="B111" s="5" t="str">
        <f t="shared" si="16"/>
        <v>V</v>
      </c>
      <c r="C111" s="5">
        <f t="shared" si="10"/>
        <v>106.68</v>
      </c>
      <c r="D111" s="5">
        <f t="shared" si="11"/>
        <v>94.86</v>
      </c>
      <c r="E111" s="4"/>
      <c r="F111" s="45" t="s">
        <v>92</v>
      </c>
      <c r="G111" s="2" t="s">
        <v>74</v>
      </c>
      <c r="H111" s="75">
        <v>106.68</v>
      </c>
      <c r="I111" s="2" t="s">
        <v>52</v>
      </c>
      <c r="J111" s="88">
        <v>94.86</v>
      </c>
      <c r="K111" s="2" t="s">
        <v>64</v>
      </c>
      <c r="L111" s="45" t="s">
        <v>67</v>
      </c>
      <c r="M111" s="4"/>
      <c r="N111" s="5">
        <f t="shared" si="12"/>
        <v>106.68</v>
      </c>
      <c r="O111" s="5">
        <f t="shared" si="13"/>
        <v>94.86</v>
      </c>
      <c r="P111" s="5" t="str">
        <f t="shared" si="14"/>
        <v>D</v>
      </c>
      <c r="Q111" s="5">
        <f t="shared" si="15"/>
        <v>-11.820000000000007</v>
      </c>
    </row>
    <row r="112" spans="1:34" ht="17.25" customHeight="1" x14ac:dyDescent="0.25">
      <c r="A112" s="5">
        <f t="shared" si="9"/>
        <v>33.25</v>
      </c>
      <c r="B112" s="5" t="str">
        <f t="shared" si="16"/>
        <v>V</v>
      </c>
      <c r="C112" s="5">
        <f t="shared" si="10"/>
        <v>122.66</v>
      </c>
      <c r="D112" s="5">
        <f t="shared" si="11"/>
        <v>89.41</v>
      </c>
      <c r="E112" s="4"/>
      <c r="F112" s="45" t="s">
        <v>103</v>
      </c>
      <c r="G112" s="2" t="s">
        <v>82</v>
      </c>
      <c r="H112" s="75">
        <v>122.66</v>
      </c>
      <c r="I112" s="2" t="s">
        <v>52</v>
      </c>
      <c r="J112" s="88">
        <v>89.41</v>
      </c>
      <c r="K112" s="2" t="s">
        <v>77</v>
      </c>
      <c r="L112" s="45" t="s">
        <v>94</v>
      </c>
      <c r="M112" s="4"/>
      <c r="N112" s="5">
        <f t="shared" si="12"/>
        <v>122.66</v>
      </c>
      <c r="O112" s="5">
        <f t="shared" si="13"/>
        <v>89.41</v>
      </c>
      <c r="P112" s="5" t="str">
        <f t="shared" si="14"/>
        <v>D</v>
      </c>
      <c r="Q112" s="5">
        <f t="shared" si="15"/>
        <v>-33.25</v>
      </c>
    </row>
    <row r="113" spans="1:17" ht="17.25" customHeight="1" x14ac:dyDescent="0.25">
      <c r="A113" s="5">
        <f t="shared" si="9"/>
        <v>-43.530000000000008</v>
      </c>
      <c r="B113" s="5" t="str">
        <f t="shared" si="16"/>
        <v>D</v>
      </c>
      <c r="C113" s="5">
        <f t="shared" si="10"/>
        <v>50.01</v>
      </c>
      <c r="D113" s="5">
        <f t="shared" si="11"/>
        <v>93.54</v>
      </c>
      <c r="E113" s="4"/>
      <c r="F113" s="45" t="s">
        <v>102</v>
      </c>
      <c r="G113" s="2" t="s">
        <v>81</v>
      </c>
      <c r="H113" s="88">
        <v>50.01</v>
      </c>
      <c r="I113" s="2" t="s">
        <v>52</v>
      </c>
      <c r="J113" s="75">
        <v>93.54</v>
      </c>
      <c r="K113" s="2" t="s">
        <v>87</v>
      </c>
      <c r="L113" s="45" t="s">
        <v>97</v>
      </c>
      <c r="M113" s="4"/>
      <c r="N113" s="5">
        <f t="shared" si="12"/>
        <v>50.01</v>
      </c>
      <c r="O113" s="5">
        <f t="shared" si="13"/>
        <v>93.54</v>
      </c>
      <c r="P113" s="5" t="str">
        <f t="shared" si="14"/>
        <v>V</v>
      </c>
      <c r="Q113" s="5">
        <f t="shared" si="15"/>
        <v>43.530000000000008</v>
      </c>
    </row>
    <row r="114" spans="1:17" ht="17.25" customHeight="1" x14ac:dyDescent="0.25">
      <c r="A114" s="5">
        <f t="shared" si="9"/>
        <v>31.069999999999993</v>
      </c>
      <c r="B114" s="5" t="str">
        <f t="shared" si="16"/>
        <v>V</v>
      </c>
      <c r="C114" s="5">
        <f t="shared" si="10"/>
        <v>96.74</v>
      </c>
      <c r="D114" s="5">
        <f t="shared" si="11"/>
        <v>65.67</v>
      </c>
      <c r="E114" s="4"/>
      <c r="F114" s="45" t="s">
        <v>68</v>
      </c>
      <c r="G114" s="2" t="s">
        <v>69</v>
      </c>
      <c r="H114" s="75">
        <v>96.74</v>
      </c>
      <c r="I114" s="2" t="s">
        <v>52</v>
      </c>
      <c r="J114" s="88">
        <v>65.67</v>
      </c>
      <c r="K114" s="2" t="s">
        <v>84</v>
      </c>
      <c r="L114" s="45" t="s">
        <v>100</v>
      </c>
      <c r="M114" s="4"/>
      <c r="N114" s="5">
        <f t="shared" si="12"/>
        <v>96.74</v>
      </c>
      <c r="O114" s="5">
        <f t="shared" si="13"/>
        <v>65.67</v>
      </c>
      <c r="P114" s="5" t="str">
        <f t="shared" si="14"/>
        <v>D</v>
      </c>
      <c r="Q114" s="5">
        <f t="shared" si="15"/>
        <v>-31.069999999999993</v>
      </c>
    </row>
    <row r="115" spans="1:17" ht="17.25" customHeight="1" x14ac:dyDescent="0.25">
      <c r="A115" s="5">
        <f t="shared" si="9"/>
        <v>2.4699999999999989</v>
      </c>
      <c r="B115" s="5" t="str">
        <f t="shared" si="16"/>
        <v>E</v>
      </c>
      <c r="C115" s="5">
        <f t="shared" si="10"/>
        <v>81.19</v>
      </c>
      <c r="D115" s="5">
        <f t="shared" si="11"/>
        <v>78.72</v>
      </c>
      <c r="E115" s="4"/>
      <c r="F115" s="45" t="s">
        <v>96</v>
      </c>
      <c r="G115" s="2" t="s">
        <v>86</v>
      </c>
      <c r="H115" s="76">
        <v>81.19</v>
      </c>
      <c r="I115" s="2" t="s">
        <v>52</v>
      </c>
      <c r="J115" s="76">
        <v>78.72</v>
      </c>
      <c r="K115" s="2" t="s">
        <v>62</v>
      </c>
      <c r="L115" s="45" t="s">
        <v>63</v>
      </c>
      <c r="M115" s="4"/>
      <c r="N115" s="5">
        <f t="shared" si="12"/>
        <v>81.19</v>
      </c>
      <c r="O115" s="5">
        <f t="shared" si="13"/>
        <v>78.72</v>
      </c>
      <c r="P115" s="5" t="str">
        <f t="shared" si="14"/>
        <v>E</v>
      </c>
      <c r="Q115" s="5">
        <f t="shared" si="15"/>
        <v>-2.4699999999999989</v>
      </c>
    </row>
    <row r="116" spans="1:17" ht="17.25" customHeight="1" x14ac:dyDescent="0.25">
      <c r="A116" s="5">
        <f t="shared" si="9"/>
        <v>-22.63000000000001</v>
      </c>
      <c r="B116" s="5" t="str">
        <f t="shared" si="16"/>
        <v>D</v>
      </c>
      <c r="C116" s="5">
        <f t="shared" si="10"/>
        <v>78.739999999999995</v>
      </c>
      <c r="D116" s="5">
        <f t="shared" si="11"/>
        <v>101.37</v>
      </c>
      <c r="E116" s="4"/>
      <c r="F116" s="45" t="s">
        <v>101</v>
      </c>
      <c r="G116" s="2" t="s">
        <v>61</v>
      </c>
      <c r="H116" s="88">
        <v>78.739999999999995</v>
      </c>
      <c r="I116" s="2" t="s">
        <v>52</v>
      </c>
      <c r="J116" s="75">
        <v>101.37</v>
      </c>
      <c r="K116" s="2" t="s">
        <v>71</v>
      </c>
      <c r="L116" s="45" t="s">
        <v>72</v>
      </c>
      <c r="M116" s="4"/>
      <c r="N116" s="5">
        <f t="shared" si="12"/>
        <v>78.739999999999995</v>
      </c>
      <c r="O116" s="5">
        <f t="shared" si="13"/>
        <v>101.37</v>
      </c>
      <c r="P116" s="5" t="str">
        <f>_xlfn.IFS(Q116&gt;=5,"V",Q116&lt;=-5,"D",Q116&lt;=-4.99,"E",Q116&lt;=4.99,"E")</f>
        <v>V</v>
      </c>
      <c r="Q116" s="5">
        <f t="shared" si="15"/>
        <v>22.63000000000001</v>
      </c>
    </row>
    <row r="117" spans="1:17" ht="17.25" customHeight="1" x14ac:dyDescent="0.25">
      <c r="A117" s="5">
        <f t="shared" si="9"/>
        <v>-3.8299999999999983</v>
      </c>
      <c r="B117" s="5" t="str">
        <f t="shared" si="16"/>
        <v>E</v>
      </c>
      <c r="C117" s="5">
        <f t="shared" si="10"/>
        <v>79.91</v>
      </c>
      <c r="D117" s="5">
        <f t="shared" si="11"/>
        <v>83.74</v>
      </c>
      <c r="E117" s="4"/>
      <c r="F117" s="45" t="s">
        <v>99</v>
      </c>
      <c r="G117" s="2" t="s">
        <v>60</v>
      </c>
      <c r="H117" s="76">
        <v>79.91</v>
      </c>
      <c r="I117" s="2" t="s">
        <v>52</v>
      </c>
      <c r="J117" s="76">
        <v>83.74</v>
      </c>
      <c r="K117" s="2" t="s">
        <v>66</v>
      </c>
      <c r="L117" s="45" t="s">
        <v>65</v>
      </c>
      <c r="M117" s="4"/>
      <c r="N117" s="5">
        <f t="shared" si="12"/>
        <v>79.91</v>
      </c>
      <c r="O117" s="5">
        <f t="shared" si="13"/>
        <v>83.74</v>
      </c>
      <c r="P117" s="5" t="str">
        <f t="shared" si="14"/>
        <v>E</v>
      </c>
      <c r="Q117" s="5">
        <f t="shared" si="15"/>
        <v>3.8299999999999983</v>
      </c>
    </row>
    <row r="118" spans="1:17" ht="17.25" customHeight="1" x14ac:dyDescent="0.25">
      <c r="A118" s="5">
        <f t="shared" si="9"/>
        <v>62.519999999999996</v>
      </c>
      <c r="B118" s="5" t="str">
        <f t="shared" si="16"/>
        <v>V</v>
      </c>
      <c r="C118" s="5">
        <f t="shared" si="10"/>
        <v>137.56</v>
      </c>
      <c r="D118" s="5">
        <f t="shared" si="11"/>
        <v>75.040000000000006</v>
      </c>
      <c r="E118" s="4"/>
      <c r="F118" s="45" t="s">
        <v>104</v>
      </c>
      <c r="G118" s="2" t="s">
        <v>75</v>
      </c>
      <c r="H118" s="75">
        <v>137.56</v>
      </c>
      <c r="I118" s="2" t="s">
        <v>52</v>
      </c>
      <c r="J118" s="88">
        <v>75.040000000000006</v>
      </c>
      <c r="K118" s="2" t="s">
        <v>88</v>
      </c>
      <c r="L118" s="45" t="s">
        <v>98</v>
      </c>
      <c r="M118" s="4"/>
      <c r="N118" s="5">
        <f t="shared" si="12"/>
        <v>137.56</v>
      </c>
      <c r="O118" s="5">
        <f t="shared" si="13"/>
        <v>75.040000000000006</v>
      </c>
      <c r="P118" s="5" t="str">
        <f t="shared" si="14"/>
        <v>D</v>
      </c>
      <c r="Q118" s="5">
        <f t="shared" si="15"/>
        <v>-62.519999999999996</v>
      </c>
    </row>
    <row r="119" spans="1:17" ht="17.25" customHeight="1" x14ac:dyDescent="0.25">
      <c r="A119" s="5">
        <f t="shared" si="9"/>
        <v>51.33</v>
      </c>
      <c r="B119" s="5" t="str">
        <f t="shared" si="16"/>
        <v>V</v>
      </c>
      <c r="C119" s="5">
        <f t="shared" si="10"/>
        <v>116.38</v>
      </c>
      <c r="D119" s="5">
        <f t="shared" si="11"/>
        <v>65.05</v>
      </c>
      <c r="E119" s="4"/>
      <c r="F119" s="45" t="s">
        <v>95</v>
      </c>
      <c r="G119" s="2" t="s">
        <v>79</v>
      </c>
      <c r="H119" s="75">
        <v>116.38</v>
      </c>
      <c r="I119" s="2" t="s">
        <v>52</v>
      </c>
      <c r="J119" s="88">
        <v>65.05</v>
      </c>
      <c r="K119" s="2" t="s">
        <v>80</v>
      </c>
      <c r="L119" s="45" t="s">
        <v>105</v>
      </c>
      <c r="M119" s="4"/>
      <c r="N119" s="5">
        <f t="shared" si="12"/>
        <v>116.38</v>
      </c>
      <c r="O119" s="5">
        <f t="shared" si="13"/>
        <v>65.05</v>
      </c>
      <c r="P119" s="5" t="str">
        <f t="shared" si="14"/>
        <v>D</v>
      </c>
      <c r="Q119" s="5">
        <f t="shared" si="15"/>
        <v>-51.33</v>
      </c>
    </row>
    <row r="120" spans="1:17" ht="17.25" customHeight="1" x14ac:dyDescent="0.25">
      <c r="A120" s="5">
        <f t="shared" si="9"/>
        <v>29.289999999999992</v>
      </c>
      <c r="B120" s="5" t="str">
        <f t="shared" si="16"/>
        <v>V</v>
      </c>
      <c r="C120" s="5">
        <f t="shared" si="10"/>
        <v>96.74</v>
      </c>
      <c r="D120" s="5">
        <f t="shared" si="11"/>
        <v>67.45</v>
      </c>
      <c r="E120" s="4"/>
      <c r="F120" s="45" t="s">
        <v>93</v>
      </c>
      <c r="G120" s="2" t="s">
        <v>76</v>
      </c>
      <c r="H120" s="75">
        <v>96.74</v>
      </c>
      <c r="I120" s="2" t="s">
        <v>52</v>
      </c>
      <c r="J120" s="88">
        <v>67.45</v>
      </c>
      <c r="K120" s="2" t="s">
        <v>106</v>
      </c>
      <c r="L120" s="45" t="s">
        <v>70</v>
      </c>
      <c r="M120" s="4"/>
      <c r="N120" s="5">
        <f t="shared" si="12"/>
        <v>96.74</v>
      </c>
      <c r="O120" s="5">
        <f t="shared" si="13"/>
        <v>67.45</v>
      </c>
      <c r="P120" s="5" t="str">
        <f t="shared" si="14"/>
        <v>D</v>
      </c>
      <c r="Q120" s="5">
        <f t="shared" si="15"/>
        <v>-29.289999999999992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-36.989999999999995</v>
      </c>
      <c r="B123" s="5" t="str">
        <f t="shared" si="16"/>
        <v>D</v>
      </c>
      <c r="C123" s="5">
        <f t="shared" si="10"/>
        <v>68.010000000000005</v>
      </c>
      <c r="D123" s="5">
        <f t="shared" si="11"/>
        <v>105</v>
      </c>
      <c r="E123" s="4"/>
      <c r="F123" s="45" t="s">
        <v>105</v>
      </c>
      <c r="G123" s="2" t="s">
        <v>80</v>
      </c>
      <c r="H123" s="88">
        <v>68.010000000000005</v>
      </c>
      <c r="I123" s="2" t="s">
        <v>52</v>
      </c>
      <c r="J123" s="75">
        <v>105</v>
      </c>
      <c r="K123" s="2" t="s">
        <v>76</v>
      </c>
      <c r="L123" s="45" t="s">
        <v>93</v>
      </c>
      <c r="M123" s="4"/>
      <c r="N123" s="5">
        <f t="shared" si="12"/>
        <v>68.010000000000005</v>
      </c>
      <c r="O123" s="5">
        <f t="shared" si="13"/>
        <v>105</v>
      </c>
      <c r="P123" s="5" t="str">
        <f t="shared" si="14"/>
        <v>V</v>
      </c>
      <c r="Q123" s="5">
        <f t="shared" si="15"/>
        <v>36.989999999999995</v>
      </c>
    </row>
    <row r="124" spans="1:17" ht="17.25" customHeight="1" x14ac:dyDescent="0.25">
      <c r="A124" s="5">
        <f t="shared" si="9"/>
        <v>106.3</v>
      </c>
      <c r="B124" s="5" t="str">
        <f t="shared" si="16"/>
        <v>V</v>
      </c>
      <c r="C124" s="5">
        <f t="shared" si="10"/>
        <v>106.3</v>
      </c>
      <c r="D124" s="5">
        <f t="shared" si="11"/>
        <v>0</v>
      </c>
      <c r="E124" s="4"/>
      <c r="F124" s="45" t="s">
        <v>103</v>
      </c>
      <c r="G124" s="2" t="s">
        <v>82</v>
      </c>
      <c r="H124" s="75">
        <v>106.3</v>
      </c>
      <c r="I124" s="2" t="s">
        <v>52</v>
      </c>
      <c r="J124" s="88">
        <v>0</v>
      </c>
      <c r="K124" s="2" t="s">
        <v>69</v>
      </c>
      <c r="L124" s="45" t="s">
        <v>68</v>
      </c>
      <c r="M124" s="4"/>
      <c r="N124" s="5">
        <f t="shared" si="12"/>
        <v>106.3</v>
      </c>
      <c r="O124" s="5">
        <f t="shared" si="13"/>
        <v>0</v>
      </c>
      <c r="P124" s="5" t="str">
        <f t="shared" si="14"/>
        <v>D</v>
      </c>
      <c r="Q124" s="5">
        <f t="shared" si="15"/>
        <v>-106.3</v>
      </c>
    </row>
    <row r="125" spans="1:17" ht="17.25" customHeight="1" x14ac:dyDescent="0.25">
      <c r="A125" s="5">
        <f t="shared" si="9"/>
        <v>-40.78</v>
      </c>
      <c r="B125" s="5" t="str">
        <f t="shared" si="16"/>
        <v>D</v>
      </c>
      <c r="C125" s="5">
        <f t="shared" si="10"/>
        <v>73.22</v>
      </c>
      <c r="D125" s="5">
        <f t="shared" si="11"/>
        <v>114</v>
      </c>
      <c r="E125" s="4"/>
      <c r="F125" s="45" t="s">
        <v>100</v>
      </c>
      <c r="G125" s="2" t="s">
        <v>84</v>
      </c>
      <c r="H125" s="88">
        <v>73.22</v>
      </c>
      <c r="I125" s="2" t="s">
        <v>52</v>
      </c>
      <c r="J125" s="75">
        <v>114</v>
      </c>
      <c r="K125" s="2" t="s">
        <v>75</v>
      </c>
      <c r="L125" s="45" t="s">
        <v>104</v>
      </c>
      <c r="M125" s="4"/>
      <c r="N125" s="5">
        <f t="shared" si="12"/>
        <v>73.22</v>
      </c>
      <c r="O125" s="5">
        <f t="shared" si="13"/>
        <v>114</v>
      </c>
      <c r="P125" s="5" t="str">
        <f t="shared" si="14"/>
        <v>V</v>
      </c>
      <c r="Q125" s="5">
        <f t="shared" si="15"/>
        <v>40.78</v>
      </c>
    </row>
    <row r="126" spans="1:17" ht="17.25" customHeight="1" x14ac:dyDescent="0.25">
      <c r="A126" s="5">
        <f t="shared" si="9"/>
        <v>8.3100000000000023</v>
      </c>
      <c r="B126" s="5" t="str">
        <f t="shared" si="16"/>
        <v>V</v>
      </c>
      <c r="C126" s="5">
        <f t="shared" si="10"/>
        <v>81.39</v>
      </c>
      <c r="D126" s="5">
        <f t="shared" si="11"/>
        <v>73.08</v>
      </c>
      <c r="E126" s="4"/>
      <c r="F126" s="45" t="s">
        <v>63</v>
      </c>
      <c r="G126" s="2" t="s">
        <v>62</v>
      </c>
      <c r="H126" s="75">
        <v>81.39</v>
      </c>
      <c r="I126" s="2" t="s">
        <v>52</v>
      </c>
      <c r="J126" s="88">
        <v>73.08</v>
      </c>
      <c r="K126" s="2" t="s">
        <v>79</v>
      </c>
      <c r="L126" s="45" t="s">
        <v>95</v>
      </c>
      <c r="M126" s="4"/>
      <c r="N126" s="5">
        <f t="shared" si="12"/>
        <v>81.39</v>
      </c>
      <c r="O126" s="5">
        <f t="shared" si="13"/>
        <v>73.08</v>
      </c>
      <c r="P126" s="5" t="str">
        <f t="shared" si="14"/>
        <v>D</v>
      </c>
      <c r="Q126" s="5">
        <f t="shared" si="15"/>
        <v>-8.3100000000000023</v>
      </c>
    </row>
    <row r="127" spans="1:17" ht="17.25" customHeight="1" x14ac:dyDescent="0.25">
      <c r="A127" s="5">
        <f t="shared" si="9"/>
        <v>24.65</v>
      </c>
      <c r="B127" s="5" t="str">
        <f t="shared" si="16"/>
        <v>V</v>
      </c>
      <c r="C127" s="5">
        <f t="shared" si="10"/>
        <v>67.77</v>
      </c>
      <c r="D127" s="5">
        <f t="shared" si="11"/>
        <v>43.12</v>
      </c>
      <c r="E127" s="4"/>
      <c r="F127" s="45" t="s">
        <v>67</v>
      </c>
      <c r="G127" s="2" t="s">
        <v>64</v>
      </c>
      <c r="H127" s="75">
        <v>67.77</v>
      </c>
      <c r="I127" s="2" t="s">
        <v>52</v>
      </c>
      <c r="J127" s="88">
        <v>43.12</v>
      </c>
      <c r="K127" s="2" t="s">
        <v>60</v>
      </c>
      <c r="L127" s="45" t="s">
        <v>99</v>
      </c>
      <c r="M127" s="4"/>
      <c r="N127" s="5">
        <f t="shared" si="12"/>
        <v>67.77</v>
      </c>
      <c r="O127" s="5">
        <f t="shared" si="13"/>
        <v>43.12</v>
      </c>
      <c r="P127" s="5" t="str">
        <f t="shared" si="14"/>
        <v>D</v>
      </c>
      <c r="Q127" s="5">
        <f t="shared" si="15"/>
        <v>-24.65</v>
      </c>
    </row>
    <row r="128" spans="1:17" ht="17.25" customHeight="1" x14ac:dyDescent="0.25">
      <c r="A128" s="5">
        <f t="shared" si="9"/>
        <v>89.04</v>
      </c>
      <c r="B128" s="5" t="str">
        <f t="shared" si="16"/>
        <v>V</v>
      </c>
      <c r="C128" s="5">
        <f t="shared" si="10"/>
        <v>89.04</v>
      </c>
      <c r="D128" s="5">
        <f t="shared" si="11"/>
        <v>0</v>
      </c>
      <c r="E128" s="4"/>
      <c r="F128" s="45" t="s">
        <v>101</v>
      </c>
      <c r="G128" s="2" t="s">
        <v>61</v>
      </c>
      <c r="H128" s="75">
        <v>89.04</v>
      </c>
      <c r="I128" s="2" t="s">
        <v>52</v>
      </c>
      <c r="J128" s="88">
        <v>0</v>
      </c>
      <c r="K128" s="2" t="s">
        <v>81</v>
      </c>
      <c r="L128" s="45" t="s">
        <v>102</v>
      </c>
      <c r="M128" s="4"/>
      <c r="N128" s="5">
        <f t="shared" si="12"/>
        <v>89.04</v>
      </c>
      <c r="O128" s="5">
        <f t="shared" si="13"/>
        <v>0</v>
      </c>
      <c r="P128" s="5" t="str">
        <f t="shared" si="14"/>
        <v>D</v>
      </c>
      <c r="Q128" s="5">
        <f t="shared" si="15"/>
        <v>-89.04</v>
      </c>
    </row>
    <row r="129" spans="1:17" ht="17.25" customHeight="1" x14ac:dyDescent="0.25">
      <c r="A129" s="5">
        <f t="shared" si="9"/>
        <v>-12.579999999999998</v>
      </c>
      <c r="B129" s="5" t="str">
        <f>_xlfn.IFS(A129&gt;=5,"V",A129&lt;=-5,"D",A129&lt;=-4.99,"E",A129&lt;=4.99,"E")</f>
        <v>D</v>
      </c>
      <c r="C129" s="5">
        <f t="shared" si="10"/>
        <v>77.58</v>
      </c>
      <c r="D129" s="5">
        <f t="shared" si="11"/>
        <v>90.16</v>
      </c>
      <c r="E129" s="4"/>
      <c r="F129" s="45" t="s">
        <v>97</v>
      </c>
      <c r="G129" s="2" t="s">
        <v>87</v>
      </c>
      <c r="H129" s="88">
        <v>77.58</v>
      </c>
      <c r="I129" s="2" t="s">
        <v>52</v>
      </c>
      <c r="J129" s="75">
        <v>90.16</v>
      </c>
      <c r="K129" s="2" t="s">
        <v>74</v>
      </c>
      <c r="L129" s="45" t="s">
        <v>92</v>
      </c>
      <c r="M129" s="4"/>
      <c r="N129" s="5">
        <f t="shared" si="12"/>
        <v>77.58</v>
      </c>
      <c r="O129" s="5">
        <f t="shared" si="13"/>
        <v>90.16</v>
      </c>
      <c r="P129" s="5" t="str">
        <f t="shared" si="14"/>
        <v>V</v>
      </c>
      <c r="Q129" s="5">
        <f t="shared" si="15"/>
        <v>12.579999999999998</v>
      </c>
    </row>
    <row r="130" spans="1:17" ht="17.25" customHeight="1" x14ac:dyDescent="0.25">
      <c r="A130" s="5">
        <f t="shared" si="9"/>
        <v>80.77</v>
      </c>
      <c r="B130" s="5" t="str">
        <f t="shared" si="16"/>
        <v>V</v>
      </c>
      <c r="C130" s="5">
        <f t="shared" si="10"/>
        <v>80.77</v>
      </c>
      <c r="D130" s="5">
        <f t="shared" si="11"/>
        <v>0</v>
      </c>
      <c r="E130" s="4"/>
      <c r="F130" s="45" t="s">
        <v>98</v>
      </c>
      <c r="G130" s="2" t="s">
        <v>88</v>
      </c>
      <c r="H130" s="75">
        <v>80.77</v>
      </c>
      <c r="I130" s="2" t="s">
        <v>52</v>
      </c>
      <c r="J130" s="88">
        <v>0</v>
      </c>
      <c r="K130" s="2" t="s">
        <v>77</v>
      </c>
      <c r="L130" s="45" t="s">
        <v>94</v>
      </c>
      <c r="M130" s="4"/>
      <c r="N130" s="5">
        <f t="shared" si="12"/>
        <v>80.77</v>
      </c>
      <c r="O130" s="5">
        <f t="shared" si="13"/>
        <v>0</v>
      </c>
      <c r="P130" s="5" t="str">
        <f t="shared" si="14"/>
        <v>D</v>
      </c>
      <c r="Q130" s="5">
        <f t="shared" si="15"/>
        <v>-80.77</v>
      </c>
    </row>
    <row r="131" spans="1:17" ht="17.25" customHeight="1" x14ac:dyDescent="0.25">
      <c r="A131" s="5">
        <f t="shared" si="9"/>
        <v>28.120000000000005</v>
      </c>
      <c r="B131" s="5" t="str">
        <f t="shared" si="16"/>
        <v>V</v>
      </c>
      <c r="C131" s="5">
        <f t="shared" si="10"/>
        <v>100.33</v>
      </c>
      <c r="D131" s="5">
        <f t="shared" si="11"/>
        <v>72.209999999999994</v>
      </c>
      <c r="E131" s="4"/>
      <c r="F131" s="45" t="s">
        <v>72</v>
      </c>
      <c r="G131" s="2" t="s">
        <v>71</v>
      </c>
      <c r="H131" s="75">
        <v>100.33</v>
      </c>
      <c r="I131" s="2" t="s">
        <v>52</v>
      </c>
      <c r="J131" s="88">
        <v>72.209999999999994</v>
      </c>
      <c r="K131" s="2" t="s">
        <v>106</v>
      </c>
      <c r="L131" s="45" t="s">
        <v>70</v>
      </c>
      <c r="M131" s="4"/>
      <c r="N131" s="5">
        <f t="shared" si="12"/>
        <v>100.33</v>
      </c>
      <c r="O131" s="5">
        <f t="shared" si="13"/>
        <v>72.209999999999994</v>
      </c>
      <c r="P131" s="5" t="str">
        <f t="shared" si="14"/>
        <v>D</v>
      </c>
      <c r="Q131" s="5">
        <f t="shared" si="15"/>
        <v>-28.120000000000005</v>
      </c>
    </row>
    <row r="132" spans="1:17" ht="17.25" customHeight="1" x14ac:dyDescent="0.25">
      <c r="A132" s="5">
        <f t="shared" ref="A132:A195" si="17">C132-D132</f>
        <v>49.429999999999993</v>
      </c>
      <c r="B132" s="5" t="str">
        <f t="shared" si="16"/>
        <v>V</v>
      </c>
      <c r="C132" s="5">
        <f t="shared" ref="C132:C195" si="18">H132</f>
        <v>120.58</v>
      </c>
      <c r="D132" s="5">
        <f t="shared" ref="D132:D195" si="19">J132</f>
        <v>71.150000000000006</v>
      </c>
      <c r="E132" s="4"/>
      <c r="F132" s="45" t="s">
        <v>65</v>
      </c>
      <c r="G132" s="2" t="s">
        <v>66</v>
      </c>
      <c r="H132" s="75">
        <v>120.58</v>
      </c>
      <c r="I132" s="2" t="s">
        <v>52</v>
      </c>
      <c r="J132" s="88">
        <v>71.150000000000006</v>
      </c>
      <c r="K132" s="2" t="s">
        <v>86</v>
      </c>
      <c r="L132" s="45" t="s">
        <v>96</v>
      </c>
      <c r="M132" s="4"/>
      <c r="N132" s="5">
        <f t="shared" ref="N132:N195" si="20">H132</f>
        <v>120.58</v>
      </c>
      <c r="O132" s="5">
        <f t="shared" ref="O132:O195" si="21">J132</f>
        <v>71.150000000000006</v>
      </c>
      <c r="P132" s="5" t="str">
        <f>_xlfn.IFS(Q132&gt;=5,"V",Q132&lt;=-5,"D",Q132&lt;=-4.99,"E",Q132&lt;=4.99,"E")</f>
        <v>D</v>
      </c>
      <c r="Q132" s="5">
        <f t="shared" ref="Q132:Q195" si="22">J132-H132</f>
        <v>-49.429999999999993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18.39</v>
      </c>
      <c r="B135" s="5" t="str">
        <f t="shared" si="16"/>
        <v>V</v>
      </c>
      <c r="C135" s="5">
        <f t="shared" si="18"/>
        <v>114.03</v>
      </c>
      <c r="D135" s="5">
        <f t="shared" si="19"/>
        <v>95.64</v>
      </c>
      <c r="E135" s="4"/>
      <c r="F135" s="45" t="s">
        <v>92</v>
      </c>
      <c r="G135" s="2" t="s">
        <v>74</v>
      </c>
      <c r="H135" s="75">
        <v>114.03</v>
      </c>
      <c r="I135" s="2" t="s">
        <v>52</v>
      </c>
      <c r="J135" s="88">
        <v>95.64</v>
      </c>
      <c r="K135" s="2" t="s">
        <v>88</v>
      </c>
      <c r="L135" s="45" t="s">
        <v>98</v>
      </c>
      <c r="M135" s="4"/>
      <c r="N135" s="5">
        <f t="shared" si="20"/>
        <v>114.03</v>
      </c>
      <c r="O135" s="5">
        <f t="shared" si="21"/>
        <v>95.64</v>
      </c>
      <c r="P135" s="5" t="str">
        <f t="shared" ref="P135:P198" si="23">_xlfn.IFS(Q135&gt;=5,"V",Q135&lt;=-5,"D",Q135&lt;=-4.99,"E",Q135&lt;=4.99,"E")</f>
        <v>D</v>
      </c>
      <c r="Q135" s="5">
        <f t="shared" si="22"/>
        <v>-18.39</v>
      </c>
    </row>
    <row r="136" spans="1:17" ht="17.25" customHeight="1" x14ac:dyDescent="0.25">
      <c r="A136" s="5">
        <f t="shared" si="17"/>
        <v>-68.63</v>
      </c>
      <c r="B136" s="5" t="str">
        <f t="shared" si="16"/>
        <v>D</v>
      </c>
      <c r="C136" s="5">
        <f t="shared" si="18"/>
        <v>0</v>
      </c>
      <c r="D136" s="5">
        <f t="shared" si="19"/>
        <v>68.63</v>
      </c>
      <c r="E136" s="4"/>
      <c r="F136" s="45" t="s">
        <v>94</v>
      </c>
      <c r="G136" s="2" t="s">
        <v>77</v>
      </c>
      <c r="H136" s="88">
        <v>0</v>
      </c>
      <c r="I136" s="2" t="s">
        <v>52</v>
      </c>
      <c r="J136" s="75">
        <v>68.63</v>
      </c>
      <c r="K136" s="2" t="s">
        <v>62</v>
      </c>
      <c r="L136" s="45" t="s">
        <v>63</v>
      </c>
      <c r="M136" s="4"/>
      <c r="N136" s="5">
        <f t="shared" si="20"/>
        <v>0</v>
      </c>
      <c r="O136" s="5">
        <f t="shared" si="21"/>
        <v>68.63</v>
      </c>
      <c r="P136" s="5" t="str">
        <f t="shared" si="23"/>
        <v>V</v>
      </c>
      <c r="Q136" s="5">
        <f t="shared" si="22"/>
        <v>68.63</v>
      </c>
    </row>
    <row r="137" spans="1:17" ht="17.25" customHeight="1" x14ac:dyDescent="0.25">
      <c r="A137" s="5">
        <f t="shared" si="17"/>
        <v>21.67</v>
      </c>
      <c r="B137" s="5" t="str">
        <f t="shared" si="16"/>
        <v>V</v>
      </c>
      <c r="C137" s="5">
        <f t="shared" si="18"/>
        <v>76.260000000000005</v>
      </c>
      <c r="D137" s="5">
        <f t="shared" si="19"/>
        <v>54.59</v>
      </c>
      <c r="E137" s="4"/>
      <c r="F137" s="45" t="s">
        <v>102</v>
      </c>
      <c r="G137" s="2" t="s">
        <v>81</v>
      </c>
      <c r="H137" s="75">
        <v>76.260000000000005</v>
      </c>
      <c r="I137" s="2" t="s">
        <v>52</v>
      </c>
      <c r="J137" s="88">
        <v>54.59</v>
      </c>
      <c r="K137" s="2" t="s">
        <v>80</v>
      </c>
      <c r="L137" s="45" t="s">
        <v>105</v>
      </c>
      <c r="M137" s="4"/>
      <c r="N137" s="5">
        <f t="shared" si="20"/>
        <v>76.260000000000005</v>
      </c>
      <c r="O137" s="5">
        <f t="shared" si="21"/>
        <v>54.59</v>
      </c>
      <c r="P137" s="5" t="str">
        <f t="shared" si="23"/>
        <v>D</v>
      </c>
      <c r="Q137" s="5">
        <f t="shared" si="22"/>
        <v>-21.67</v>
      </c>
    </row>
    <row r="138" spans="1:17" ht="17.25" customHeight="1" x14ac:dyDescent="0.25">
      <c r="A138" s="5">
        <f t="shared" si="17"/>
        <v>18.939999999999998</v>
      </c>
      <c r="B138" s="5" t="str">
        <f t="shared" si="16"/>
        <v>V</v>
      </c>
      <c r="C138" s="5">
        <f t="shared" si="18"/>
        <v>80.33</v>
      </c>
      <c r="D138" s="5">
        <f t="shared" si="19"/>
        <v>61.39</v>
      </c>
      <c r="E138" s="4"/>
      <c r="F138" s="45" t="s">
        <v>68</v>
      </c>
      <c r="G138" s="2" t="s">
        <v>69</v>
      </c>
      <c r="H138" s="75">
        <v>80.33</v>
      </c>
      <c r="I138" s="2" t="s">
        <v>52</v>
      </c>
      <c r="J138" s="88">
        <v>61.39</v>
      </c>
      <c r="K138" s="2" t="s">
        <v>71</v>
      </c>
      <c r="L138" s="45" t="s">
        <v>72</v>
      </c>
      <c r="M138" s="4"/>
      <c r="N138" s="5">
        <f t="shared" si="20"/>
        <v>80.33</v>
      </c>
      <c r="O138" s="5">
        <f t="shared" si="21"/>
        <v>61.39</v>
      </c>
      <c r="P138" s="5" t="str">
        <f t="shared" si="23"/>
        <v>D</v>
      </c>
      <c r="Q138" s="5">
        <f t="shared" si="22"/>
        <v>-18.939999999999998</v>
      </c>
    </row>
    <row r="139" spans="1:17" ht="17.25" customHeight="1" x14ac:dyDescent="0.25">
      <c r="A139" s="5">
        <f t="shared" si="17"/>
        <v>-105.38</v>
      </c>
      <c r="B139" s="5" t="str">
        <f t="shared" si="16"/>
        <v>D</v>
      </c>
      <c r="C139" s="5">
        <f t="shared" si="18"/>
        <v>0</v>
      </c>
      <c r="D139" s="5">
        <f t="shared" si="19"/>
        <v>105.38</v>
      </c>
      <c r="E139" s="4"/>
      <c r="F139" s="45" t="s">
        <v>96</v>
      </c>
      <c r="G139" s="2" t="s">
        <v>86</v>
      </c>
      <c r="H139" s="88">
        <v>0</v>
      </c>
      <c r="I139" s="2" t="s">
        <v>52</v>
      </c>
      <c r="J139" s="75">
        <v>105.38</v>
      </c>
      <c r="K139" s="2" t="s">
        <v>61</v>
      </c>
      <c r="L139" s="45" t="s">
        <v>101</v>
      </c>
      <c r="M139" s="4"/>
      <c r="N139" s="5">
        <f t="shared" si="20"/>
        <v>0</v>
      </c>
      <c r="O139" s="5">
        <f t="shared" si="21"/>
        <v>105.38</v>
      </c>
      <c r="P139" s="5" t="str">
        <f t="shared" si="23"/>
        <v>V</v>
      </c>
      <c r="Q139" s="5">
        <f t="shared" si="22"/>
        <v>105.38</v>
      </c>
    </row>
    <row r="140" spans="1:17" ht="17.25" customHeight="1" x14ac:dyDescent="0.25">
      <c r="A140" s="5">
        <f t="shared" si="17"/>
        <v>-36.550000000000004</v>
      </c>
      <c r="B140" s="5" t="str">
        <f t="shared" si="16"/>
        <v>D</v>
      </c>
      <c r="C140" s="5">
        <f t="shared" si="18"/>
        <v>52.54</v>
      </c>
      <c r="D140" s="5">
        <f t="shared" si="19"/>
        <v>89.09</v>
      </c>
      <c r="E140" s="4"/>
      <c r="F140" s="45" t="s">
        <v>70</v>
      </c>
      <c r="G140" s="2" t="s">
        <v>106</v>
      </c>
      <c r="H140" s="88">
        <v>52.54</v>
      </c>
      <c r="I140" s="2" t="s">
        <v>52</v>
      </c>
      <c r="J140" s="75">
        <v>89.09</v>
      </c>
      <c r="K140" s="2" t="s">
        <v>84</v>
      </c>
      <c r="L140" s="45" t="s">
        <v>100</v>
      </c>
      <c r="M140" s="4"/>
      <c r="N140" s="5">
        <f t="shared" si="20"/>
        <v>52.54</v>
      </c>
      <c r="O140" s="5">
        <f t="shared" si="21"/>
        <v>89.09</v>
      </c>
      <c r="P140" s="5" t="str">
        <f t="shared" si="23"/>
        <v>V</v>
      </c>
      <c r="Q140" s="5">
        <f t="shared" si="22"/>
        <v>36.550000000000004</v>
      </c>
    </row>
    <row r="141" spans="1:17" ht="17.25" customHeight="1" x14ac:dyDescent="0.25">
      <c r="A141" s="5">
        <f t="shared" si="17"/>
        <v>18.840000000000003</v>
      </c>
      <c r="B141" s="5" t="str">
        <f t="shared" si="16"/>
        <v>V</v>
      </c>
      <c r="C141" s="5">
        <f t="shared" si="18"/>
        <v>116.73</v>
      </c>
      <c r="D141" s="5">
        <f t="shared" si="19"/>
        <v>97.89</v>
      </c>
      <c r="E141" s="4"/>
      <c r="F141" s="45" t="s">
        <v>97</v>
      </c>
      <c r="G141" s="2" t="s">
        <v>87</v>
      </c>
      <c r="H141" s="75">
        <v>116.73</v>
      </c>
      <c r="I141" s="2" t="s">
        <v>52</v>
      </c>
      <c r="J141" s="88">
        <v>97.89</v>
      </c>
      <c r="K141" s="2" t="s">
        <v>64</v>
      </c>
      <c r="L141" s="45" t="s">
        <v>67</v>
      </c>
      <c r="M141" s="4"/>
      <c r="N141" s="5">
        <f t="shared" si="20"/>
        <v>116.73</v>
      </c>
      <c r="O141" s="5">
        <f t="shared" si="21"/>
        <v>97.89</v>
      </c>
      <c r="P141" s="5" t="str">
        <f t="shared" si="23"/>
        <v>D</v>
      </c>
      <c r="Q141" s="5">
        <f t="shared" si="22"/>
        <v>-18.840000000000003</v>
      </c>
    </row>
    <row r="142" spans="1:17" ht="17.25" customHeight="1" x14ac:dyDescent="0.25">
      <c r="A142" s="5">
        <f t="shared" si="17"/>
        <v>-2.75</v>
      </c>
      <c r="B142" s="5" t="str">
        <f t="shared" si="16"/>
        <v>E</v>
      </c>
      <c r="C142" s="5">
        <f t="shared" si="18"/>
        <v>85.64</v>
      </c>
      <c r="D142" s="5">
        <f t="shared" si="19"/>
        <v>88.39</v>
      </c>
      <c r="E142" s="4"/>
      <c r="F142" s="45" t="s">
        <v>104</v>
      </c>
      <c r="G142" s="2" t="s">
        <v>75</v>
      </c>
      <c r="H142" s="76">
        <v>85.64</v>
      </c>
      <c r="I142" s="2" t="s">
        <v>52</v>
      </c>
      <c r="J142" s="76">
        <v>88.39</v>
      </c>
      <c r="K142" s="2" t="s">
        <v>60</v>
      </c>
      <c r="L142" s="45" t="s">
        <v>99</v>
      </c>
      <c r="M142" s="4"/>
      <c r="N142" s="5">
        <f t="shared" si="20"/>
        <v>85.64</v>
      </c>
      <c r="O142" s="5">
        <f t="shared" si="21"/>
        <v>88.39</v>
      </c>
      <c r="P142" s="5" t="str">
        <f t="shared" si="23"/>
        <v>E</v>
      </c>
      <c r="Q142" s="5">
        <f t="shared" si="22"/>
        <v>2.75</v>
      </c>
    </row>
    <row r="143" spans="1:17" ht="17.25" customHeight="1" x14ac:dyDescent="0.25">
      <c r="A143" s="5">
        <f t="shared" si="17"/>
        <v>19.700000000000003</v>
      </c>
      <c r="B143" s="5" t="str">
        <f t="shared" ref="B143:B204" si="24">_xlfn.IFS(A143&gt;=5,"V",A143&lt;=-5,"D",A143&lt;=-4.99,"E",A143&lt;=4.99,"E")</f>
        <v>V</v>
      </c>
      <c r="C143" s="5">
        <f t="shared" si="18"/>
        <v>101.19</v>
      </c>
      <c r="D143" s="5">
        <f t="shared" si="19"/>
        <v>81.489999999999995</v>
      </c>
      <c r="E143" s="4"/>
      <c r="F143" s="45" t="s">
        <v>95</v>
      </c>
      <c r="G143" s="2" t="s">
        <v>79</v>
      </c>
      <c r="H143" s="75">
        <v>101.19</v>
      </c>
      <c r="I143" s="2" t="s">
        <v>52</v>
      </c>
      <c r="J143" s="88">
        <v>81.489999999999995</v>
      </c>
      <c r="K143" s="2" t="s">
        <v>76</v>
      </c>
      <c r="L143" s="45" t="s">
        <v>93</v>
      </c>
      <c r="M143" s="4"/>
      <c r="N143" s="5">
        <f t="shared" si="20"/>
        <v>101.19</v>
      </c>
      <c r="O143" s="5">
        <f t="shared" si="21"/>
        <v>81.489999999999995</v>
      </c>
      <c r="P143" s="5" t="str">
        <f t="shared" si="23"/>
        <v>D</v>
      </c>
      <c r="Q143" s="5">
        <f t="shared" si="22"/>
        <v>-19.700000000000003</v>
      </c>
    </row>
    <row r="144" spans="1:17" ht="17.25" customHeight="1" x14ac:dyDescent="0.25">
      <c r="A144" s="5">
        <f t="shared" si="17"/>
        <v>3.3400000000000034</v>
      </c>
      <c r="B144" s="5" t="str">
        <f t="shared" si="24"/>
        <v>E</v>
      </c>
      <c r="C144" s="5">
        <f t="shared" si="18"/>
        <v>101.68</v>
      </c>
      <c r="D144" s="5">
        <f t="shared" si="19"/>
        <v>98.34</v>
      </c>
      <c r="E144" s="4"/>
      <c r="F144" s="45" t="s">
        <v>65</v>
      </c>
      <c r="G144" s="2" t="s">
        <v>66</v>
      </c>
      <c r="H144" s="76">
        <v>101.68</v>
      </c>
      <c r="I144" s="2" t="s">
        <v>52</v>
      </c>
      <c r="J144" s="76">
        <v>98.34</v>
      </c>
      <c r="K144" s="2" t="s">
        <v>82</v>
      </c>
      <c r="L144" s="45" t="s">
        <v>103</v>
      </c>
      <c r="M144" s="4"/>
      <c r="N144" s="5">
        <f t="shared" si="20"/>
        <v>101.68</v>
      </c>
      <c r="O144" s="5">
        <f t="shared" si="21"/>
        <v>98.34</v>
      </c>
      <c r="P144" s="5" t="str">
        <f t="shared" si="23"/>
        <v>E</v>
      </c>
      <c r="Q144" s="5">
        <f t="shared" si="22"/>
        <v>-3.3400000000000034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-38.299999999999997</v>
      </c>
      <c r="B147" s="5" t="str">
        <f t="shared" si="24"/>
        <v>D</v>
      </c>
      <c r="C147" s="5">
        <f t="shared" si="18"/>
        <v>62.86</v>
      </c>
      <c r="D147" s="5">
        <f t="shared" si="19"/>
        <v>101.16</v>
      </c>
      <c r="E147" s="4"/>
      <c r="F147" s="45" t="s">
        <v>105</v>
      </c>
      <c r="G147" s="2" t="s">
        <v>80</v>
      </c>
      <c r="H147" s="88">
        <v>62.86</v>
      </c>
      <c r="I147" s="2" t="s">
        <v>52</v>
      </c>
      <c r="J147" s="75">
        <v>101.16</v>
      </c>
      <c r="K147" s="2" t="s">
        <v>75</v>
      </c>
      <c r="L147" s="45" t="s">
        <v>104</v>
      </c>
      <c r="M147" s="4"/>
      <c r="N147" s="5">
        <f t="shared" si="20"/>
        <v>62.86</v>
      </c>
      <c r="O147" s="5">
        <f t="shared" si="21"/>
        <v>101.16</v>
      </c>
      <c r="P147" s="5" t="str">
        <f t="shared" si="23"/>
        <v>V</v>
      </c>
      <c r="Q147" s="5">
        <f t="shared" si="22"/>
        <v>38.299999999999997</v>
      </c>
    </row>
    <row r="148" spans="1:17" ht="17.25" customHeight="1" x14ac:dyDescent="0.25">
      <c r="A148" s="5">
        <f t="shared" si="17"/>
        <v>18.519999999999996</v>
      </c>
      <c r="B148" s="5" t="str">
        <f t="shared" si="24"/>
        <v>V</v>
      </c>
      <c r="C148" s="5">
        <f t="shared" si="18"/>
        <v>113.56</v>
      </c>
      <c r="D148" s="5">
        <f t="shared" si="19"/>
        <v>95.04</v>
      </c>
      <c r="E148" s="4"/>
      <c r="F148" s="45" t="s">
        <v>103</v>
      </c>
      <c r="G148" s="2" t="s">
        <v>82</v>
      </c>
      <c r="H148" s="75">
        <v>113.56</v>
      </c>
      <c r="I148" s="2" t="s">
        <v>52</v>
      </c>
      <c r="J148" s="88">
        <v>95.04</v>
      </c>
      <c r="K148" s="2" t="s">
        <v>74</v>
      </c>
      <c r="L148" s="45" t="s">
        <v>92</v>
      </c>
      <c r="M148" s="4"/>
      <c r="N148" s="5">
        <f t="shared" si="20"/>
        <v>113.56</v>
      </c>
      <c r="O148" s="5">
        <f t="shared" si="21"/>
        <v>95.04</v>
      </c>
      <c r="P148" s="5" t="str">
        <f t="shared" si="23"/>
        <v>D</v>
      </c>
      <c r="Q148" s="5">
        <f t="shared" si="22"/>
        <v>-18.519999999999996</v>
      </c>
    </row>
    <row r="149" spans="1:17" ht="17.25" customHeight="1" x14ac:dyDescent="0.25">
      <c r="A149" s="5">
        <f t="shared" si="17"/>
        <v>-79.19</v>
      </c>
      <c r="B149" s="5" t="str">
        <f t="shared" si="24"/>
        <v>D</v>
      </c>
      <c r="C149" s="5">
        <f t="shared" si="18"/>
        <v>39.85</v>
      </c>
      <c r="D149" s="5">
        <f t="shared" si="19"/>
        <v>119.04</v>
      </c>
      <c r="E149" s="4"/>
      <c r="F149" s="45" t="s">
        <v>102</v>
      </c>
      <c r="G149" s="2" t="s">
        <v>81</v>
      </c>
      <c r="H149" s="88">
        <v>39.85</v>
      </c>
      <c r="I149" s="2" t="s">
        <v>52</v>
      </c>
      <c r="J149" s="75">
        <v>119.04</v>
      </c>
      <c r="K149" s="2" t="s">
        <v>79</v>
      </c>
      <c r="L149" s="45" t="s">
        <v>95</v>
      </c>
      <c r="M149" s="4"/>
      <c r="N149" s="5">
        <f t="shared" si="20"/>
        <v>39.85</v>
      </c>
      <c r="O149" s="5">
        <f t="shared" si="21"/>
        <v>119.04</v>
      </c>
      <c r="P149" s="5" t="str">
        <f t="shared" si="23"/>
        <v>V</v>
      </c>
      <c r="Q149" s="5">
        <f t="shared" si="22"/>
        <v>79.19</v>
      </c>
    </row>
    <row r="150" spans="1:17" ht="17.25" customHeight="1" x14ac:dyDescent="0.25">
      <c r="A150" s="5">
        <f t="shared" si="17"/>
        <v>-7.3100000000000023</v>
      </c>
      <c r="B150" s="5" t="str">
        <f t="shared" si="24"/>
        <v>D</v>
      </c>
      <c r="C150" s="5">
        <f t="shared" si="18"/>
        <v>56.7</v>
      </c>
      <c r="D150" s="5">
        <f t="shared" si="19"/>
        <v>64.010000000000005</v>
      </c>
      <c r="E150" s="4"/>
      <c r="F150" s="45" t="s">
        <v>63</v>
      </c>
      <c r="G150" s="2" t="s">
        <v>62</v>
      </c>
      <c r="H150" s="88">
        <v>56.7</v>
      </c>
      <c r="I150" s="2" t="s">
        <v>52</v>
      </c>
      <c r="J150" s="75">
        <v>64.010000000000005</v>
      </c>
      <c r="K150" s="2" t="s">
        <v>64</v>
      </c>
      <c r="L150" s="45" t="s">
        <v>67</v>
      </c>
      <c r="M150" s="4"/>
      <c r="N150" s="5">
        <f t="shared" si="20"/>
        <v>56.7</v>
      </c>
      <c r="O150" s="5">
        <f t="shared" si="21"/>
        <v>64.010000000000005</v>
      </c>
      <c r="P150" s="5" t="str">
        <f t="shared" si="23"/>
        <v>V</v>
      </c>
      <c r="Q150" s="5">
        <f t="shared" si="22"/>
        <v>7.3100000000000023</v>
      </c>
    </row>
    <row r="151" spans="1:17" ht="17.25" customHeight="1" x14ac:dyDescent="0.25">
      <c r="A151" s="5">
        <f t="shared" si="17"/>
        <v>-7.470000000000006</v>
      </c>
      <c r="B151" s="5" t="str">
        <f t="shared" si="24"/>
        <v>D</v>
      </c>
      <c r="C151" s="5">
        <f t="shared" si="18"/>
        <v>62.54</v>
      </c>
      <c r="D151" s="5">
        <f t="shared" si="19"/>
        <v>70.010000000000005</v>
      </c>
      <c r="E151" s="4"/>
      <c r="F151" s="45" t="s">
        <v>96</v>
      </c>
      <c r="G151" s="2" t="s">
        <v>86</v>
      </c>
      <c r="H151" s="88">
        <v>62.54</v>
      </c>
      <c r="I151" s="2" t="s">
        <v>52</v>
      </c>
      <c r="J151" s="75">
        <v>70.010000000000005</v>
      </c>
      <c r="K151" s="2" t="s">
        <v>77</v>
      </c>
      <c r="L151" s="45" t="s">
        <v>94</v>
      </c>
      <c r="M151" s="4"/>
      <c r="N151" s="5">
        <f t="shared" si="20"/>
        <v>62.54</v>
      </c>
      <c r="O151" s="5">
        <f t="shared" si="21"/>
        <v>70.010000000000005</v>
      </c>
      <c r="P151" s="5" t="str">
        <f t="shared" si="23"/>
        <v>V</v>
      </c>
      <c r="Q151" s="5">
        <f t="shared" si="22"/>
        <v>7.470000000000006</v>
      </c>
    </row>
    <row r="152" spans="1:17" ht="17.25" customHeight="1" x14ac:dyDescent="0.25">
      <c r="A152" s="5">
        <f t="shared" si="17"/>
        <v>-54.52</v>
      </c>
      <c r="B152" s="5" t="str">
        <f t="shared" si="24"/>
        <v>D</v>
      </c>
      <c r="C152" s="5">
        <f t="shared" si="18"/>
        <v>0</v>
      </c>
      <c r="D152" s="5">
        <f t="shared" si="19"/>
        <v>54.52</v>
      </c>
      <c r="E152" s="4"/>
      <c r="F152" s="45" t="s">
        <v>101</v>
      </c>
      <c r="G152" s="2" t="s">
        <v>61</v>
      </c>
      <c r="H152" s="88">
        <v>0</v>
      </c>
      <c r="I152" s="2" t="s">
        <v>52</v>
      </c>
      <c r="J152" s="75">
        <v>54.52</v>
      </c>
      <c r="K152" s="2" t="s">
        <v>106</v>
      </c>
      <c r="L152" s="45" t="s">
        <v>70</v>
      </c>
      <c r="M152" s="4"/>
      <c r="N152" s="5">
        <f t="shared" si="20"/>
        <v>0</v>
      </c>
      <c r="O152" s="5">
        <f t="shared" si="21"/>
        <v>54.52</v>
      </c>
      <c r="P152" s="5" t="str">
        <f t="shared" si="23"/>
        <v>V</v>
      </c>
      <c r="Q152" s="5">
        <f t="shared" si="22"/>
        <v>54.52</v>
      </c>
    </row>
    <row r="153" spans="1:17" ht="17.25" customHeight="1" x14ac:dyDescent="0.25">
      <c r="A153" s="5">
        <f t="shared" si="17"/>
        <v>-21.53</v>
      </c>
      <c r="B153" s="5" t="str">
        <f t="shared" si="24"/>
        <v>D</v>
      </c>
      <c r="C153" s="5">
        <f t="shared" si="18"/>
        <v>68.150000000000006</v>
      </c>
      <c r="D153" s="5">
        <f t="shared" si="19"/>
        <v>89.68</v>
      </c>
      <c r="E153" s="4"/>
      <c r="F153" s="45" t="s">
        <v>99</v>
      </c>
      <c r="G153" s="2" t="s">
        <v>60</v>
      </c>
      <c r="H153" s="88">
        <v>68.150000000000006</v>
      </c>
      <c r="I153" s="2" t="s">
        <v>52</v>
      </c>
      <c r="J153" s="75">
        <v>89.68</v>
      </c>
      <c r="K153" s="2" t="s">
        <v>87</v>
      </c>
      <c r="L153" s="45" t="s">
        <v>97</v>
      </c>
      <c r="M153" s="4"/>
      <c r="N153" s="5">
        <f t="shared" si="20"/>
        <v>68.150000000000006</v>
      </c>
      <c r="O153" s="5">
        <f t="shared" si="21"/>
        <v>89.68</v>
      </c>
      <c r="P153" s="5" t="str">
        <f t="shared" si="23"/>
        <v>V</v>
      </c>
      <c r="Q153" s="5">
        <f t="shared" si="22"/>
        <v>21.53</v>
      </c>
    </row>
    <row r="154" spans="1:17" ht="17.25" customHeight="1" x14ac:dyDescent="0.25">
      <c r="A154" s="5">
        <f t="shared" si="17"/>
        <v>21.569999999999993</v>
      </c>
      <c r="B154" s="5" t="str">
        <f t="shared" si="24"/>
        <v>V</v>
      </c>
      <c r="C154" s="5">
        <f t="shared" si="18"/>
        <v>79.88</v>
      </c>
      <c r="D154" s="5">
        <f t="shared" si="19"/>
        <v>58.31</v>
      </c>
      <c r="E154" s="4"/>
      <c r="F154" s="45" t="s">
        <v>98</v>
      </c>
      <c r="G154" s="2" t="s">
        <v>88</v>
      </c>
      <c r="H154" s="75">
        <v>79.88</v>
      </c>
      <c r="I154" s="2" t="s">
        <v>52</v>
      </c>
      <c r="J154" s="88">
        <v>58.31</v>
      </c>
      <c r="K154" s="2" t="s">
        <v>84</v>
      </c>
      <c r="L154" s="45" t="s">
        <v>100</v>
      </c>
      <c r="M154" s="4"/>
      <c r="N154" s="5">
        <f t="shared" si="20"/>
        <v>79.88</v>
      </c>
      <c r="O154" s="5">
        <f t="shared" si="21"/>
        <v>58.31</v>
      </c>
      <c r="P154" s="5" t="str">
        <f t="shared" si="23"/>
        <v>D</v>
      </c>
      <c r="Q154" s="5">
        <f t="shared" si="22"/>
        <v>-21.569999999999993</v>
      </c>
    </row>
    <row r="155" spans="1:17" ht="17.25" customHeight="1" x14ac:dyDescent="0.25">
      <c r="A155" s="5">
        <f t="shared" si="17"/>
        <v>-17.299999999999997</v>
      </c>
      <c r="B155" s="5" t="str">
        <f t="shared" si="24"/>
        <v>D</v>
      </c>
      <c r="C155" s="5">
        <f t="shared" si="18"/>
        <v>66.510000000000005</v>
      </c>
      <c r="D155" s="5">
        <f t="shared" si="19"/>
        <v>83.81</v>
      </c>
      <c r="E155" s="4"/>
      <c r="F155" s="45" t="s">
        <v>72</v>
      </c>
      <c r="G155" s="2" t="s">
        <v>71</v>
      </c>
      <c r="H155" s="88">
        <v>66.510000000000005</v>
      </c>
      <c r="I155" s="2" t="s">
        <v>52</v>
      </c>
      <c r="J155" s="75">
        <v>83.81</v>
      </c>
      <c r="K155" s="2" t="s">
        <v>66</v>
      </c>
      <c r="L155" s="45" t="s">
        <v>65</v>
      </c>
      <c r="M155" s="4"/>
      <c r="N155" s="5">
        <f t="shared" si="20"/>
        <v>66.510000000000005</v>
      </c>
      <c r="O155" s="5">
        <f t="shared" si="21"/>
        <v>83.81</v>
      </c>
      <c r="P155" s="5" t="str">
        <f t="shared" si="23"/>
        <v>V</v>
      </c>
      <c r="Q155" s="5">
        <f t="shared" si="22"/>
        <v>17.299999999999997</v>
      </c>
    </row>
    <row r="156" spans="1:17" ht="17.25" customHeight="1" x14ac:dyDescent="0.25">
      <c r="A156" s="5">
        <f t="shared" si="17"/>
        <v>-28.700000000000003</v>
      </c>
      <c r="B156" s="5" t="str">
        <f t="shared" si="24"/>
        <v>D</v>
      </c>
      <c r="C156" s="5">
        <f t="shared" si="18"/>
        <v>79.66</v>
      </c>
      <c r="D156" s="5">
        <f t="shared" si="19"/>
        <v>108.36</v>
      </c>
      <c r="E156" s="4"/>
      <c r="F156" s="45" t="s">
        <v>93</v>
      </c>
      <c r="G156" s="2" t="s">
        <v>76</v>
      </c>
      <c r="H156" s="88">
        <v>79.66</v>
      </c>
      <c r="I156" s="2" t="s">
        <v>52</v>
      </c>
      <c r="J156" s="75">
        <v>108.36</v>
      </c>
      <c r="K156" s="2" t="s">
        <v>69</v>
      </c>
      <c r="L156" s="45" t="s">
        <v>68</v>
      </c>
      <c r="M156" s="4"/>
      <c r="N156" s="5">
        <f t="shared" si="20"/>
        <v>79.66</v>
      </c>
      <c r="O156" s="5">
        <f t="shared" si="21"/>
        <v>108.36</v>
      </c>
      <c r="P156" s="5" t="str">
        <f t="shared" si="23"/>
        <v>V</v>
      </c>
      <c r="Q156" s="5">
        <f t="shared" si="22"/>
        <v>28.700000000000003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45" t="s">
        <v>105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106</v>
      </c>
      <c r="L162" s="45" t="s">
        <v>70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45" t="s">
        <v>104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45" t="s">
        <v>93</v>
      </c>
      <c r="G168" s="2" t="s">
        <v>76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105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76</v>
      </c>
      <c r="L175" s="45" t="s">
        <v>93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45" t="s">
        <v>70</v>
      </c>
      <c r="G176" s="2" t="s">
        <v>106</v>
      </c>
      <c r="H176" s="1"/>
      <c r="I176" s="1" t="s">
        <v>52</v>
      </c>
      <c r="J176" s="1"/>
      <c r="K176" s="2" t="s">
        <v>75</v>
      </c>
      <c r="L176" s="45" t="s">
        <v>104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45" t="s">
        <v>105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106</v>
      </c>
      <c r="L189" s="45" t="s">
        <v>70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45" t="s">
        <v>104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45" t="s">
        <v>93</v>
      </c>
      <c r="G192" s="2" t="s">
        <v>76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76</v>
      </c>
      <c r="L196" s="45" t="s">
        <v>93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105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45" t="s">
        <v>70</v>
      </c>
      <c r="G200" s="2" t="s">
        <v>106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104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76</v>
      </c>
      <c r="L210" s="45" t="s">
        <v>93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45" t="s">
        <v>70</v>
      </c>
      <c r="G212" s="2" t="s">
        <v>106</v>
      </c>
      <c r="H212" s="1"/>
      <c r="I212" s="1" t="s">
        <v>52</v>
      </c>
      <c r="J212" s="1"/>
      <c r="K212" s="2" t="s">
        <v>80</v>
      </c>
      <c r="L212" s="45" t="s">
        <v>105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45" t="s">
        <v>104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45" t="s">
        <v>105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106</v>
      </c>
      <c r="L223" s="45" t="s">
        <v>70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104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45" t="s">
        <v>93</v>
      </c>
      <c r="G228" s="2" t="s">
        <v>76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33">Y3</f>
        <v>32</v>
      </c>
      <c r="Z239" s="15">
        <f t="shared" si="33"/>
        <v>13</v>
      </c>
      <c r="AA239" s="15">
        <f t="shared" si="33"/>
        <v>10</v>
      </c>
      <c r="AB239" s="15">
        <f t="shared" si="33"/>
        <v>2</v>
      </c>
      <c r="AC239" s="15">
        <f t="shared" si="33"/>
        <v>1</v>
      </c>
      <c r="AD239" s="15">
        <f t="shared" si="33"/>
        <v>1221.74</v>
      </c>
      <c r="AE239" s="15">
        <f t="shared" si="33"/>
        <v>817.88</v>
      </c>
      <c r="AF239" s="69">
        <f t="shared" si="33"/>
        <v>403.86</v>
      </c>
      <c r="AG239" s="23">
        <f t="shared" si="33"/>
        <v>93.98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34">X4</f>
        <v>Óia o gato</v>
      </c>
      <c r="Y240" s="78">
        <f t="shared" si="33"/>
        <v>29</v>
      </c>
      <c r="Z240" s="78">
        <f t="shared" si="33"/>
        <v>13</v>
      </c>
      <c r="AA240" s="78">
        <f t="shared" si="33"/>
        <v>9</v>
      </c>
      <c r="AB240" s="78">
        <f t="shared" si="33"/>
        <v>2</v>
      </c>
      <c r="AC240" s="78">
        <f t="shared" si="33"/>
        <v>2</v>
      </c>
      <c r="AD240" s="78">
        <f t="shared" si="33"/>
        <v>1196.71</v>
      </c>
      <c r="AE240" s="78">
        <f t="shared" si="33"/>
        <v>928.46</v>
      </c>
      <c r="AF240" s="79">
        <f t="shared" si="33"/>
        <v>268.25</v>
      </c>
      <c r="AG240" s="24">
        <f t="shared" si="33"/>
        <v>92.054615384615389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34"/>
        <v>Coquinho bebidas 1 Ligas</v>
      </c>
      <c r="Y241" s="78">
        <f t="shared" si="33"/>
        <v>28</v>
      </c>
      <c r="Z241" s="78">
        <f t="shared" si="33"/>
        <v>13</v>
      </c>
      <c r="AA241" s="78">
        <f t="shared" si="33"/>
        <v>9</v>
      </c>
      <c r="AB241" s="78">
        <f t="shared" si="33"/>
        <v>1</v>
      </c>
      <c r="AC241" s="78">
        <f t="shared" si="33"/>
        <v>3</v>
      </c>
      <c r="AD241" s="78">
        <f t="shared" si="33"/>
        <v>1256.2600000000002</v>
      </c>
      <c r="AE241" s="78">
        <f t="shared" si="33"/>
        <v>745.6</v>
      </c>
      <c r="AF241" s="79">
        <f t="shared" si="33"/>
        <v>510.6600000000002</v>
      </c>
      <c r="AG241" s="24">
        <f t="shared" si="33"/>
        <v>96.635384615384638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34"/>
        <v>Paris Saint GermainCF</v>
      </c>
      <c r="Y242" s="78">
        <f t="shared" si="33"/>
        <v>28</v>
      </c>
      <c r="Z242" s="78">
        <f t="shared" si="33"/>
        <v>13</v>
      </c>
      <c r="AA242" s="78">
        <f t="shared" si="33"/>
        <v>9</v>
      </c>
      <c r="AB242" s="78">
        <f t="shared" si="33"/>
        <v>1</v>
      </c>
      <c r="AC242" s="78">
        <f t="shared" si="33"/>
        <v>3</v>
      </c>
      <c r="AD242" s="78">
        <f t="shared" si="33"/>
        <v>1172.8899999999999</v>
      </c>
      <c r="AE242" s="78">
        <f t="shared" si="33"/>
        <v>1025.69</v>
      </c>
      <c r="AF242" s="79">
        <f t="shared" si="33"/>
        <v>147.19999999999982</v>
      </c>
      <c r="AG242" s="24">
        <f t="shared" si="33"/>
        <v>90.22230769230768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34"/>
        <v>Dióclecinho FC</v>
      </c>
      <c r="Y243" s="34">
        <f t="shared" si="33"/>
        <v>25</v>
      </c>
      <c r="Z243" s="34">
        <f t="shared" si="33"/>
        <v>13</v>
      </c>
      <c r="AA243" s="34">
        <f t="shared" si="33"/>
        <v>8</v>
      </c>
      <c r="AB243" s="34">
        <f t="shared" si="33"/>
        <v>1</v>
      </c>
      <c r="AC243" s="34">
        <f t="shared" si="33"/>
        <v>4</v>
      </c>
      <c r="AD243" s="34">
        <f t="shared" si="33"/>
        <v>895.18000000000006</v>
      </c>
      <c r="AE243" s="34">
        <f t="shared" si="33"/>
        <v>912.18</v>
      </c>
      <c r="AF243" s="71">
        <f t="shared" si="33"/>
        <v>-16.999999999999886</v>
      </c>
      <c r="AG243" s="24">
        <f t="shared" si="33"/>
        <v>68.86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34"/>
        <v>família fc palmeiras</v>
      </c>
      <c r="Y244" s="34">
        <f t="shared" si="33"/>
        <v>24</v>
      </c>
      <c r="Z244" s="34">
        <f t="shared" si="33"/>
        <v>13</v>
      </c>
      <c r="AA244" s="34">
        <f t="shared" si="33"/>
        <v>7</v>
      </c>
      <c r="AB244" s="34">
        <f t="shared" si="33"/>
        <v>3</v>
      </c>
      <c r="AC244" s="34">
        <f t="shared" si="33"/>
        <v>3</v>
      </c>
      <c r="AD244" s="34">
        <f t="shared" si="33"/>
        <v>1004.44</v>
      </c>
      <c r="AE244" s="34">
        <f t="shared" si="33"/>
        <v>862.01</v>
      </c>
      <c r="AF244" s="71">
        <f t="shared" si="33"/>
        <v>142.43000000000006</v>
      </c>
      <c r="AG244" s="24">
        <f t="shared" si="33"/>
        <v>77.264615384615382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34"/>
        <v>Alex Antenas FC</v>
      </c>
      <c r="Y245" s="34">
        <f t="shared" si="33"/>
        <v>24</v>
      </c>
      <c r="Z245" s="34">
        <f t="shared" si="33"/>
        <v>13</v>
      </c>
      <c r="AA245" s="34">
        <f t="shared" si="33"/>
        <v>7</v>
      </c>
      <c r="AB245" s="34">
        <f t="shared" si="33"/>
        <v>3</v>
      </c>
      <c r="AC245" s="34">
        <f t="shared" si="33"/>
        <v>3</v>
      </c>
      <c r="AD245" s="34">
        <f t="shared" si="33"/>
        <v>1112.8699999999999</v>
      </c>
      <c r="AE245" s="34">
        <f t="shared" si="33"/>
        <v>1006.31</v>
      </c>
      <c r="AF245" s="71">
        <f t="shared" si="33"/>
        <v>106.55999999999995</v>
      </c>
      <c r="AG245" s="24">
        <f t="shared" si="33"/>
        <v>85.605384615384608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34"/>
        <v>maior do nordeste S C R</v>
      </c>
      <c r="Y246" s="34">
        <f t="shared" si="33"/>
        <v>22</v>
      </c>
      <c r="Z246" s="34">
        <f t="shared" si="33"/>
        <v>13</v>
      </c>
      <c r="AA246" s="34">
        <f t="shared" si="33"/>
        <v>7</v>
      </c>
      <c r="AB246" s="34">
        <f t="shared" si="33"/>
        <v>1</v>
      </c>
      <c r="AC246" s="34">
        <f t="shared" si="33"/>
        <v>5</v>
      </c>
      <c r="AD246" s="34">
        <f t="shared" si="33"/>
        <v>979.41000000000008</v>
      </c>
      <c r="AE246" s="34">
        <f t="shared" si="33"/>
        <v>721.8599999999999</v>
      </c>
      <c r="AF246" s="71">
        <f t="shared" si="33"/>
        <v>257.55000000000018</v>
      </c>
      <c r="AG246" s="24">
        <f t="shared" si="33"/>
        <v>75.339230769230781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34"/>
        <v>Bayern11</v>
      </c>
      <c r="Y247" s="34">
        <f t="shared" si="33"/>
        <v>22</v>
      </c>
      <c r="Z247" s="34">
        <f t="shared" si="33"/>
        <v>13</v>
      </c>
      <c r="AA247" s="34">
        <f t="shared" si="33"/>
        <v>7</v>
      </c>
      <c r="AB247" s="34">
        <f t="shared" si="33"/>
        <v>1</v>
      </c>
      <c r="AC247" s="34">
        <f t="shared" si="33"/>
        <v>5</v>
      </c>
      <c r="AD247" s="34">
        <f t="shared" si="33"/>
        <v>1031.3600000000001</v>
      </c>
      <c r="AE247" s="34">
        <f t="shared" si="33"/>
        <v>938.16</v>
      </c>
      <c r="AF247" s="71">
        <f t="shared" si="33"/>
        <v>93.200000000000159</v>
      </c>
      <c r="AG247" s="24">
        <f t="shared" si="33"/>
        <v>79.335384615384626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34"/>
        <v>JIQUIRIFC</v>
      </c>
      <c r="Y248" s="34">
        <f t="shared" si="33"/>
        <v>20</v>
      </c>
      <c r="Z248" s="34">
        <f t="shared" si="33"/>
        <v>13</v>
      </c>
      <c r="AA248" s="34">
        <f t="shared" si="33"/>
        <v>6</v>
      </c>
      <c r="AB248" s="34">
        <f t="shared" si="33"/>
        <v>2</v>
      </c>
      <c r="AC248" s="34">
        <f t="shared" si="33"/>
        <v>5</v>
      </c>
      <c r="AD248" s="34">
        <f t="shared" si="33"/>
        <v>950.45</v>
      </c>
      <c r="AE248" s="34">
        <f t="shared" si="33"/>
        <v>914.03</v>
      </c>
      <c r="AF248" s="71">
        <f t="shared" si="33"/>
        <v>36.420000000000073</v>
      </c>
      <c r="AG248" s="24">
        <f t="shared" si="33"/>
        <v>73.111538461538458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34"/>
        <v>Tabajara 1912 SFC 1912</v>
      </c>
      <c r="Y249" s="34">
        <f t="shared" si="33"/>
        <v>19</v>
      </c>
      <c r="Z249" s="34">
        <f t="shared" si="33"/>
        <v>13</v>
      </c>
      <c r="AA249" s="34">
        <f t="shared" si="33"/>
        <v>6</v>
      </c>
      <c r="AB249" s="34">
        <f t="shared" si="33"/>
        <v>1</v>
      </c>
      <c r="AC249" s="34">
        <f t="shared" si="33"/>
        <v>6</v>
      </c>
      <c r="AD249" s="34">
        <f t="shared" si="33"/>
        <v>775.41000000000008</v>
      </c>
      <c r="AE249" s="34">
        <f t="shared" si="33"/>
        <v>895.09999999999991</v>
      </c>
      <c r="AF249" s="71">
        <f t="shared" si="33"/>
        <v>-119.68999999999983</v>
      </c>
      <c r="AG249" s="24">
        <f t="shared" si="33"/>
        <v>59.64692307692308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34"/>
        <v>inferCoral fc</v>
      </c>
      <c r="Y250" s="34">
        <f t="shared" si="33"/>
        <v>18</v>
      </c>
      <c r="Z250" s="34">
        <f t="shared" si="33"/>
        <v>13</v>
      </c>
      <c r="AA250" s="34">
        <f t="shared" si="33"/>
        <v>5</v>
      </c>
      <c r="AB250" s="34">
        <f t="shared" si="33"/>
        <v>3</v>
      </c>
      <c r="AC250" s="34">
        <f t="shared" si="33"/>
        <v>5</v>
      </c>
      <c r="AD250" s="34">
        <f t="shared" si="33"/>
        <v>982.39999999999986</v>
      </c>
      <c r="AE250" s="34">
        <f t="shared" si="33"/>
        <v>882.11999999999989</v>
      </c>
      <c r="AF250" s="71">
        <f t="shared" si="33"/>
        <v>100.27999999999997</v>
      </c>
      <c r="AG250" s="24">
        <f t="shared" si="33"/>
        <v>75.569230769230757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34"/>
        <v>Corinthians up city</v>
      </c>
      <c r="Y251" s="34">
        <f t="shared" si="33"/>
        <v>16</v>
      </c>
      <c r="Z251" s="34">
        <f t="shared" si="33"/>
        <v>13</v>
      </c>
      <c r="AA251" s="34">
        <f t="shared" si="33"/>
        <v>4</v>
      </c>
      <c r="AB251" s="34">
        <f t="shared" si="33"/>
        <v>4</v>
      </c>
      <c r="AC251" s="34">
        <f t="shared" si="33"/>
        <v>5</v>
      </c>
      <c r="AD251" s="34">
        <f t="shared" si="33"/>
        <v>1000.26</v>
      </c>
      <c r="AE251" s="34">
        <f t="shared" si="33"/>
        <v>1014.41</v>
      </c>
      <c r="AF251" s="71">
        <f t="shared" si="33"/>
        <v>-14.149999999999977</v>
      </c>
      <c r="AG251" s="24">
        <f t="shared" si="33"/>
        <v>76.943076923076916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34"/>
        <v>SE Palmeiras Riachense</v>
      </c>
      <c r="Y252" s="34">
        <f t="shared" si="33"/>
        <v>13</v>
      </c>
      <c r="Z252" s="34">
        <f t="shared" si="33"/>
        <v>13</v>
      </c>
      <c r="AA252" s="34">
        <f t="shared" si="33"/>
        <v>4</v>
      </c>
      <c r="AB252" s="34">
        <f t="shared" si="33"/>
        <v>1</v>
      </c>
      <c r="AC252" s="34">
        <f t="shared" si="33"/>
        <v>8</v>
      </c>
      <c r="AD252" s="34">
        <f t="shared" si="33"/>
        <v>940.81</v>
      </c>
      <c r="AE252" s="34">
        <f t="shared" si="33"/>
        <v>1107.0999999999999</v>
      </c>
      <c r="AF252" s="71">
        <f t="shared" si="33"/>
        <v>-166.28999999999996</v>
      </c>
      <c r="AG252" s="24">
        <f t="shared" si="33"/>
        <v>72.36999999999999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34"/>
        <v>THUNDER BRANCO</v>
      </c>
      <c r="Y253" s="34">
        <f t="shared" si="33"/>
        <v>12</v>
      </c>
      <c r="Z253" s="34">
        <f t="shared" si="33"/>
        <v>13</v>
      </c>
      <c r="AA253" s="34">
        <f t="shared" si="33"/>
        <v>4</v>
      </c>
      <c r="AB253" s="34">
        <f t="shared" si="33"/>
        <v>0</v>
      </c>
      <c r="AC253" s="34">
        <f t="shared" si="33"/>
        <v>9</v>
      </c>
      <c r="AD253" s="34">
        <f t="shared" si="33"/>
        <v>758.37000000000012</v>
      </c>
      <c r="AE253" s="34">
        <f t="shared" si="33"/>
        <v>965.16</v>
      </c>
      <c r="AF253" s="71">
        <f t="shared" si="33"/>
        <v>-206.78999999999985</v>
      </c>
      <c r="AG253" s="24">
        <f t="shared" si="33"/>
        <v>58.336153846153856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34"/>
        <v>REVISILVA</v>
      </c>
      <c r="Y254" s="34">
        <f t="shared" si="33"/>
        <v>11</v>
      </c>
      <c r="Z254" s="34">
        <f t="shared" si="33"/>
        <v>13</v>
      </c>
      <c r="AA254" s="34">
        <f t="shared" si="33"/>
        <v>3</v>
      </c>
      <c r="AB254" s="34">
        <f t="shared" si="33"/>
        <v>2</v>
      </c>
      <c r="AC254" s="34">
        <f t="shared" si="33"/>
        <v>8</v>
      </c>
      <c r="AD254" s="34">
        <f t="shared" si="33"/>
        <v>907.98</v>
      </c>
      <c r="AE254" s="34">
        <f t="shared" si="33"/>
        <v>1027.25</v>
      </c>
      <c r="AF254" s="71">
        <f t="shared" si="33"/>
        <v>-119.26999999999998</v>
      </c>
      <c r="AG254" s="24">
        <f t="shared" si="33"/>
        <v>69.844615384615381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34"/>
        <v>Go_Flash</v>
      </c>
      <c r="Y255" s="36">
        <f t="shared" si="34"/>
        <v>10</v>
      </c>
      <c r="Z255" s="36">
        <f t="shared" si="34"/>
        <v>13</v>
      </c>
      <c r="AA255" s="36">
        <f t="shared" si="34"/>
        <v>3</v>
      </c>
      <c r="AB255" s="36">
        <f t="shared" si="34"/>
        <v>1</v>
      </c>
      <c r="AC255" s="36">
        <f t="shared" si="34"/>
        <v>9</v>
      </c>
      <c r="AD255" s="36">
        <f t="shared" si="34"/>
        <v>684.29</v>
      </c>
      <c r="AE255" s="36">
        <f t="shared" si="34"/>
        <v>951.26</v>
      </c>
      <c r="AF255" s="72">
        <f t="shared" si="34"/>
        <v>-266.97000000000003</v>
      </c>
      <c r="AG255" s="24">
        <f t="shared" si="34"/>
        <v>52.637692307692305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35">X20</f>
        <v>Elite Coral Futebol Clube</v>
      </c>
      <c r="Y256" s="36">
        <f t="shared" si="35"/>
        <v>8</v>
      </c>
      <c r="Z256" s="36">
        <f t="shared" si="35"/>
        <v>13</v>
      </c>
      <c r="AA256" s="36">
        <f t="shared" si="35"/>
        <v>2</v>
      </c>
      <c r="AB256" s="36">
        <f t="shared" si="35"/>
        <v>2</v>
      </c>
      <c r="AC256" s="36">
        <f t="shared" si="35"/>
        <v>9</v>
      </c>
      <c r="AD256" s="36">
        <f t="shared" si="35"/>
        <v>741.96</v>
      </c>
      <c r="AE256" s="36">
        <f t="shared" si="35"/>
        <v>1015.27</v>
      </c>
      <c r="AF256" s="72">
        <f t="shared" si="35"/>
        <v>-273.30999999999995</v>
      </c>
      <c r="AG256" s="24">
        <f t="shared" si="35"/>
        <v>57.073846153846155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35"/>
        <v>Chambá EC</v>
      </c>
      <c r="Y257" s="36">
        <f t="shared" si="35"/>
        <v>6</v>
      </c>
      <c r="Z257" s="36">
        <f t="shared" si="35"/>
        <v>13</v>
      </c>
      <c r="AA257" s="36">
        <f t="shared" si="35"/>
        <v>2</v>
      </c>
      <c r="AB257" s="36">
        <f t="shared" si="35"/>
        <v>0</v>
      </c>
      <c r="AC257" s="36">
        <f t="shared" si="35"/>
        <v>11</v>
      </c>
      <c r="AD257" s="36">
        <f t="shared" si="35"/>
        <v>493.65999999999997</v>
      </c>
      <c r="AE257" s="36">
        <f t="shared" si="35"/>
        <v>1071.2599999999998</v>
      </c>
      <c r="AF257" s="72">
        <f t="shared" si="35"/>
        <v>-577.5999999999998</v>
      </c>
      <c r="AG257" s="24">
        <f t="shared" si="35"/>
        <v>37.973846153846154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35"/>
        <v>Fc-Villa-do-Rato-Fc</v>
      </c>
      <c r="Y258" s="17">
        <f t="shared" si="35"/>
        <v>5</v>
      </c>
      <c r="Z258" s="17">
        <f t="shared" si="35"/>
        <v>13</v>
      </c>
      <c r="AA258" s="17">
        <f t="shared" si="35"/>
        <v>0</v>
      </c>
      <c r="AB258" s="17">
        <f t="shared" si="35"/>
        <v>5</v>
      </c>
      <c r="AC258" s="17">
        <f t="shared" si="35"/>
        <v>8</v>
      </c>
      <c r="AD258" s="17">
        <f t="shared" si="35"/>
        <v>709.2399999999999</v>
      </c>
      <c r="AE258" s="17">
        <f t="shared" si="35"/>
        <v>1014.58</v>
      </c>
      <c r="AF258" s="73">
        <f t="shared" si="35"/>
        <v>-305.34000000000015</v>
      </c>
      <c r="AG258" s="25">
        <f t="shared" si="35"/>
        <v>54.55692307692307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zoomScale="75" zoomScaleNormal="75" workbookViewId="0">
      <selection activeCell="E10" sqref="E10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76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6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105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1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2</v>
      </c>
      <c r="E10" s="51"/>
      <c r="P10" s="56"/>
      <c r="S10" s="51"/>
    </row>
    <row r="11" spans="1:21" ht="18.75" x14ac:dyDescent="0.25">
      <c r="A11" s="45" t="s">
        <v>70</v>
      </c>
      <c r="B11" s="2" t="s">
        <v>106</v>
      </c>
      <c r="C11" s="2">
        <v>1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104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2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1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2026-10-27T14:39:51Z</dcterms:modified>
</cp:coreProperties>
</file>