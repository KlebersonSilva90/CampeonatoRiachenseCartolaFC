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A040EA10-193E-4B02-8429-A9E670A13713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/>
  <c r="O128" i="3"/>
  <c r="N128" i="3"/>
  <c r="D128" i="3"/>
  <c r="C128" i="3"/>
  <c r="A128" i="3" s="1"/>
  <c r="B128" i="3" s="1"/>
  <c r="Q127" i="3"/>
  <c r="P127" i="3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/>
  <c r="O119" i="3"/>
  <c r="N119" i="3"/>
  <c r="D119" i="3"/>
  <c r="C119" i="3"/>
  <c r="A119" i="3" s="1"/>
  <c r="B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/>
  <c r="O116" i="3"/>
  <c r="N116" i="3"/>
  <c r="D116" i="3"/>
  <c r="C116" i="3"/>
  <c r="A116" i="3" s="1"/>
  <c r="B116" i="3" s="1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/>
  <c r="O111" i="3"/>
  <c r="N111" i="3"/>
  <c r="D111" i="3"/>
  <c r="C111" i="3"/>
  <c r="A111" i="3" s="1"/>
  <c r="B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/>
  <c r="Q106" i="3"/>
  <c r="P106" i="3"/>
  <c r="O106" i="3"/>
  <c r="N106" i="3"/>
  <c r="D106" i="3"/>
  <c r="C106" i="3"/>
  <c r="A106" i="3" s="1"/>
  <c r="B106" i="3" s="1"/>
  <c r="Q105" i="3"/>
  <c r="P105" i="3"/>
  <c r="O105" i="3"/>
  <c r="N105" i="3"/>
  <c r="D105" i="3"/>
  <c r="C105" i="3"/>
  <c r="A105" i="3" s="1"/>
  <c r="B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/>
  <c r="Q102" i="3"/>
  <c r="P102" i="3"/>
  <c r="O102" i="3"/>
  <c r="N102" i="3"/>
  <c r="D102" i="3"/>
  <c r="C102" i="3"/>
  <c r="A102" i="3" s="1"/>
  <c r="B102" i="3" s="1"/>
  <c r="Q101" i="3"/>
  <c r="P101" i="3"/>
  <c r="O101" i="3"/>
  <c r="N101" i="3"/>
  <c r="D101" i="3"/>
  <c r="C101" i="3"/>
  <c r="A101" i="3" s="1"/>
  <c r="B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C95" i="3"/>
  <c r="A95" i="3" s="1"/>
  <c r="B95" i="3" s="1"/>
  <c r="Q94" i="3"/>
  <c r="P94" i="3" s="1"/>
  <c r="O94" i="3"/>
  <c r="N94" i="3"/>
  <c r="D94" i="3"/>
  <c r="C94" i="3"/>
  <c r="Q93" i="3"/>
  <c r="P93" i="3"/>
  <c r="O93" i="3"/>
  <c r="N93" i="3"/>
  <c r="D93" i="3"/>
  <c r="C93" i="3"/>
  <c r="A93" i="3" s="1"/>
  <c r="B93" i="3"/>
  <c r="Q92" i="3"/>
  <c r="P92" i="3" s="1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 s="1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 s="1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 s="1"/>
  <c r="Q82" i="3"/>
  <c r="P82" i="3"/>
  <c r="O82" i="3"/>
  <c r="N82" i="3"/>
  <c r="D82" i="3"/>
  <c r="C82" i="3"/>
  <c r="A82" i="3" s="1"/>
  <c r="B82" i="3" s="1"/>
  <c r="Q81" i="3"/>
  <c r="P81" i="3" s="1"/>
  <c r="O81" i="3"/>
  <c r="N81" i="3"/>
  <c r="D81" i="3"/>
  <c r="C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 s="1"/>
  <c r="O78" i="3"/>
  <c r="N78" i="3"/>
  <c r="D78" i="3"/>
  <c r="C78" i="3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 s="1"/>
  <c r="Q72" i="3"/>
  <c r="P72" i="3" s="1"/>
  <c r="O72" i="3"/>
  <c r="N72" i="3"/>
  <c r="D72" i="3"/>
  <c r="AE18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AE6" i="3" s="1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AD3" i="3" s="1"/>
  <c r="Q3" i="3"/>
  <c r="P3" i="3" s="1"/>
  <c r="O3" i="3"/>
  <c r="N3" i="3"/>
  <c r="D3" i="3"/>
  <c r="AE15" i="3" s="1"/>
  <c r="C3" i="3"/>
  <c r="A89" i="3" l="1"/>
  <c r="B89" i="3" s="1"/>
  <c r="A94" i="3"/>
  <c r="B94" i="3" s="1"/>
  <c r="AD14" i="3"/>
  <c r="AE10" i="3"/>
  <c r="A78" i="3"/>
  <c r="B78" i="3" s="1"/>
  <c r="AC13" i="3" s="1"/>
  <c r="A81" i="3"/>
  <c r="B81" i="3" s="1"/>
  <c r="AB22" i="3" s="1"/>
  <c r="AD13" i="3"/>
  <c r="A64" i="3"/>
  <c r="B64" i="3" s="1"/>
  <c r="A67" i="3"/>
  <c r="B67" i="3" s="1"/>
  <c r="A72" i="3"/>
  <c r="B72" i="3" s="1"/>
  <c r="AB18" i="3" s="1"/>
  <c r="AD17" i="3"/>
  <c r="AE5" i="3"/>
  <c r="AD9" i="3"/>
  <c r="A51" i="3"/>
  <c r="B51" i="3" s="1"/>
  <c r="A56" i="3"/>
  <c r="B56" i="3" s="1"/>
  <c r="A59" i="3"/>
  <c r="B59" i="3" s="1"/>
  <c r="AE13" i="3"/>
  <c r="A53" i="3"/>
  <c r="B53" i="3" s="1"/>
  <c r="AA16" i="3" s="1"/>
  <c r="A58" i="3"/>
  <c r="B58" i="3" s="1"/>
  <c r="AE9" i="3"/>
  <c r="AE22" i="3"/>
  <c r="AE3" i="3"/>
  <c r="AF3" i="3" s="1"/>
  <c r="AD21" i="3"/>
  <c r="AD11" i="3"/>
  <c r="AD4" i="3"/>
  <c r="A40" i="3"/>
  <c r="B40" i="3" s="1"/>
  <c r="A43" i="3"/>
  <c r="B43" i="3" s="1"/>
  <c r="A48" i="3"/>
  <c r="B48" i="3" s="1"/>
  <c r="A28" i="3"/>
  <c r="B28" i="3" s="1"/>
  <c r="A27" i="3"/>
  <c r="B27" i="3" s="1"/>
  <c r="AD7" i="3"/>
  <c r="AE21" i="3"/>
  <c r="AD12" i="3"/>
  <c r="AE4" i="3"/>
  <c r="AE20" i="3"/>
  <c r="A20" i="3"/>
  <c r="B20" i="3" s="1"/>
  <c r="AE16" i="3"/>
  <c r="AE11" i="3"/>
  <c r="AE7" i="3"/>
  <c r="AE17" i="3"/>
  <c r="AE14" i="3"/>
  <c r="AE12" i="3"/>
  <c r="A18" i="3"/>
  <c r="B18" i="3" s="1"/>
  <c r="A22" i="3"/>
  <c r="B22" i="3" s="1"/>
  <c r="AD10" i="3"/>
  <c r="AF10" i="3" s="1"/>
  <c r="AE8" i="3"/>
  <c r="AD6" i="3"/>
  <c r="AF6" i="3" s="1"/>
  <c r="AC14" i="3"/>
  <c r="AB14" i="3"/>
  <c r="AA14" i="3"/>
  <c r="AA6" i="3"/>
  <c r="AC6" i="3"/>
  <c r="AB6" i="3"/>
  <c r="AC12" i="3"/>
  <c r="AA12" i="3"/>
  <c r="AB12" i="3"/>
  <c r="AA19" i="3"/>
  <c r="AB19" i="3"/>
  <c r="AC19" i="3"/>
  <c r="AC21" i="3"/>
  <c r="AB21" i="3"/>
  <c r="AA21" i="3"/>
  <c r="AC18" i="3"/>
  <c r="AC16" i="3"/>
  <c r="AB13" i="3"/>
  <c r="AA13" i="3"/>
  <c r="AA8" i="3"/>
  <c r="AC8" i="3"/>
  <c r="AB8" i="3"/>
  <c r="AB10" i="3"/>
  <c r="AA10" i="3"/>
  <c r="AC10" i="3"/>
  <c r="AC5" i="3"/>
  <c r="AB5" i="3"/>
  <c r="AA5" i="3"/>
  <c r="AB7" i="3"/>
  <c r="AC7" i="3"/>
  <c r="AA7" i="3"/>
  <c r="AD18" i="3"/>
  <c r="A7" i="3"/>
  <c r="B7" i="3" s="1"/>
  <c r="AD22" i="3"/>
  <c r="A11" i="3"/>
  <c r="B11" i="3" s="1"/>
  <c r="AD16" i="3"/>
  <c r="A3" i="3"/>
  <c r="B3" i="3" s="1"/>
  <c r="A8" i="3"/>
  <c r="B8" i="3" s="1"/>
  <c r="AD19" i="3"/>
  <c r="A12" i="3"/>
  <c r="B12" i="3" s="1"/>
  <c r="AD5" i="3"/>
  <c r="AD20" i="3"/>
  <c r="AD8" i="3"/>
  <c r="A4" i="3"/>
  <c r="B4" i="3" s="1"/>
  <c r="AD15" i="3"/>
  <c r="A9" i="3"/>
  <c r="B9" i="3" s="1"/>
  <c r="AE19" i="3"/>
  <c r="AF14" i="3" l="1"/>
  <c r="AC22" i="3"/>
  <c r="AA22" i="3"/>
  <c r="Y22" i="3" s="1"/>
  <c r="AF13" i="3"/>
  <c r="AF9" i="3"/>
  <c r="AE239" i="3"/>
  <c r="AE252" i="3"/>
  <c r="AD252" i="3"/>
  <c r="AD248" i="3"/>
  <c r="AE247" i="3"/>
  <c r="AE244" i="3"/>
  <c r="AE253" i="3"/>
  <c r="AA18" i="3"/>
  <c r="Y18" i="3" s="1"/>
  <c r="AD241" i="3"/>
  <c r="AB16" i="3"/>
  <c r="Z16" i="3" s="1"/>
  <c r="AF11" i="3"/>
  <c r="AD250" i="3"/>
  <c r="AE242" i="3"/>
  <c r="AE241" i="3"/>
  <c r="AF21" i="3"/>
  <c r="AE250" i="3"/>
  <c r="AF7" i="3"/>
  <c r="AE246" i="3"/>
  <c r="AF4" i="3"/>
  <c r="AF17" i="3"/>
  <c r="AE249" i="3"/>
  <c r="AF12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8" i="3"/>
  <c r="AD257" i="3"/>
  <c r="AF5" i="3"/>
  <c r="Z8" i="3"/>
  <c r="Y8" i="3"/>
  <c r="Z12" i="3"/>
  <c r="Y12" i="3"/>
  <c r="Y14" i="3"/>
  <c r="Z14" i="3"/>
  <c r="AC4" i="3"/>
  <c r="AA4" i="3"/>
  <c r="AB4" i="3"/>
  <c r="AC3" i="3"/>
  <c r="AB3" i="3"/>
  <c r="AA3" i="3"/>
  <c r="AA241" i="3" s="1"/>
  <c r="AD247" i="3"/>
  <c r="AF19" i="3"/>
  <c r="AD258" i="3"/>
  <c r="AF16" i="3"/>
  <c r="AC17" i="3"/>
  <c r="AA17" i="3"/>
  <c r="AB17" i="3"/>
  <c r="AD243" i="3"/>
  <c r="AF15" i="3"/>
  <c r="AF249" i="3" s="1"/>
  <c r="AD242" i="3"/>
  <c r="AF18" i="3"/>
  <c r="Z5" i="3"/>
  <c r="Y5" i="3"/>
  <c r="Y10" i="3"/>
  <c r="Z10" i="3"/>
  <c r="AF20" i="3"/>
  <c r="AD256" i="3"/>
  <c r="AC9" i="3"/>
  <c r="AA9" i="3"/>
  <c r="AB9" i="3"/>
  <c r="AA15" i="3"/>
  <c r="AB15" i="3"/>
  <c r="AC15" i="3"/>
  <c r="AD246" i="3"/>
  <c r="AF22" i="3"/>
  <c r="Z6" i="3"/>
  <c r="Y6" i="3"/>
  <c r="AA11" i="3"/>
  <c r="AA242" i="3" s="1"/>
  <c r="AB11" i="3"/>
  <c r="AC11" i="3"/>
  <c r="AA20" i="3"/>
  <c r="AB20" i="3"/>
  <c r="AC20" i="3"/>
  <c r="Y7" i="3"/>
  <c r="Z7" i="3"/>
  <c r="Y13" i="3"/>
  <c r="Z13" i="3"/>
  <c r="Y21" i="3"/>
  <c r="Z21" i="3"/>
  <c r="Z19" i="3"/>
  <c r="Y19" i="3"/>
  <c r="Z22" i="3" l="1"/>
  <c r="AA258" i="3"/>
  <c r="Y16" i="3"/>
  <c r="AC243" i="3"/>
  <c r="AF246" i="3"/>
  <c r="Z18" i="3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G22" i="3"/>
  <c r="AA254" i="3"/>
  <c r="Y17" i="3"/>
  <c r="Z17" i="3"/>
  <c r="AG13" i="3"/>
  <c r="AA243" i="3"/>
  <c r="Z15" i="3"/>
  <c r="Z249" i="3" s="1"/>
  <c r="Y15" i="3"/>
  <c r="AG18" i="3"/>
  <c r="AG19" i="3"/>
  <c r="AG14" i="3"/>
  <c r="AG12" i="3"/>
  <c r="AA251" i="3"/>
  <c r="Z11" i="3"/>
  <c r="Y11" i="3"/>
  <c r="AA256" i="3"/>
  <c r="Z20" i="3"/>
  <c r="Z258" i="3" s="1"/>
  <c r="Y20" i="3"/>
  <c r="AG6" i="3"/>
  <c r="AG8" i="3"/>
  <c r="AG7" i="3"/>
  <c r="AG21" i="3"/>
  <c r="AA240" i="3"/>
  <c r="Z9" i="3"/>
  <c r="Y9" i="3"/>
  <c r="AG10" i="3"/>
  <c r="AG16" i="3"/>
  <c r="AA253" i="3"/>
  <c r="Y3" i="3"/>
  <c r="Z3" i="3"/>
  <c r="Z244" i="3" s="1"/>
  <c r="AA252" i="3"/>
  <c r="Z4" i="3"/>
  <c r="Z246" i="3" s="1"/>
  <c r="Y4" i="3"/>
  <c r="Y246" i="3" s="1"/>
  <c r="AG5" i="3"/>
  <c r="Y240" i="3" l="1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20" i="3"/>
  <c r="AG256" i="3" s="1"/>
  <c r="Z243" i="3"/>
  <c r="AG15" i="3"/>
  <c r="Z254" i="3"/>
  <c r="AG17" i="3"/>
  <c r="Z253" i="3"/>
  <c r="AG3" i="3"/>
  <c r="Z251" i="3"/>
  <c r="AG11" i="3"/>
  <c r="Z252" i="3"/>
  <c r="AG4" i="3"/>
  <c r="Z240" i="3"/>
  <c r="AG9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<sst xmlns="http://schemas.openxmlformats.org/spreadsheetml/2006/main" count="1180" uniqueCount="107">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</sst>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406400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49" zoomScale="75" zoomScaleNormal="75" workbookViewId="0">
      <selection activeCell="W99" sqref="W99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>SUM((AA3*3)+AB3)</f>
        <v>22</v>
      </c>
      <c r="Z3" s="46">
        <f>SUM(AA3+AB3+AC3)</f>
        <v>8</v>
      </c>
      <c r="AA3" s="46">
        <f>COUNTIFS($G$3:$G$228,X3,$B$3:$B$228,"V")+COUNTIFS($K$3:$K$228,X3,$P$3:$P$228,"V")</f>
        <v>7</v>
      </c>
      <c r="AB3" s="46">
        <f>COUNTIFS($G$3:$G$228,X3,$B$3:$B$228,"E",$H$3:$H$228,"&lt;&gt;"&amp;"")+COUNTIFS($K$3:$K$228,X3,$P$3:$P$228,"E",$J$3:$J$228,"&lt;&gt;"&amp;"")</f>
        <v>1</v>
      </c>
      <c r="AC3" s="46">
        <f>COUNTIFS($G$3:$G$228,X3,$B$3:$B$228,"D")+COUNTIFS($K$3:$K$228,X3,$P$3:$P$228,"D")</f>
        <v>0</v>
      </c>
      <c r="AD3" s="46">
        <f>SUMIFS($C$3:$C$228,$G$3:$G$228,X3)+SUMIFS($O$3:$O$228,$K$3:$K$228,X3)</f>
        <v>707.96</v>
      </c>
      <c r="AE3" s="46">
        <f>SUMIFS($D$3:$D$228,$G$3:$G$228,X3)+SUMIFS($N$3:$N$228,$K$3:$K$228,X3)</f>
        <v>443.08</v>
      </c>
      <c r="AF3" s="46">
        <f>SUM(AD3-AE3)</f>
        <v>264.88000000000005</v>
      </c>
      <c r="AG3" s="20">
        <f>SUM(AD3/Z3)</f>
        <v>88.495000000000005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87</v>
      </c>
      <c r="Y4" s="43">
        <f>SUM((AA4*3)+AB4)</f>
        <v>19</v>
      </c>
      <c r="Z4" s="43">
        <f>SUM(AA4+AB4+AC4)</f>
        <v>8</v>
      </c>
      <c r="AA4" s="39">
        <f>COUNTIFS($G$3:$G$228,X4,$B$3:$B$228,"V")+COUNTIFS($K$3:$K$228,X4,$P$3:$P$228,"V")</f>
        <v>6</v>
      </c>
      <c r="AB4" s="39">
        <f>COUNTIFS($G$3:$G$228,X4,$B$3:$B$228,"E",$H$3:$H$228,"&lt;&gt;"&amp;"")+COUNTIFS($K$3:$K$228,X4,$P$3:$P$228,"E",$J$3:$J$228,"&lt;&gt;"&amp;"")</f>
        <v>1</v>
      </c>
      <c r="AC4" s="39">
        <f>COUNTIFS($G$3:$G$228,X4,$B$3:$B$228,"D")+COUNTIFS($K$3:$K$228,X4,$P$3:$P$228,"D")</f>
        <v>1</v>
      </c>
      <c r="AD4" s="39">
        <f>SUMIFS($C$3:$C$228,$G$3:$G$228,X4)+SUMIFS($O$3:$O$228,$K$3:$K$228,X4)</f>
        <v>705.89</v>
      </c>
      <c r="AE4" s="39">
        <f>SUMIFS($D$3:$D$228,$G$3:$G$228,X4)+SUMIFS($N$3:$N$228,$K$3:$K$228,X4)</f>
        <v>623.21</v>
      </c>
      <c r="AF4" s="61">
        <f>SUM(AD4-AE4)</f>
        <v>82.67999999999995</v>
      </c>
      <c r="AG4" s="21">
        <f>SUM(AD4/Z4)</f>
        <v>88.236249999999998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87" t="s">
        <v>86</v>
      </c>
      <c r="Y5" s="60">
        <f>SUM((AA5*3)+AB5)</f>
        <v>18</v>
      </c>
      <c r="Z5" s="60">
        <f>SUM(AA5+AB5+AC5)</f>
        <v>8</v>
      </c>
      <c r="AA5" s="60">
        <f>COUNTIFS($G$3:$G$228,X5,$B$3:$B$228,"V")+COUNTIFS($K$3:$K$228,X5,$P$3:$P$228,"V")</f>
        <v>6</v>
      </c>
      <c r="AB5" s="60">
        <f>COUNTIFS($G$3:$G$228,X5,$B$3:$B$228,"E",$H$3:$H$228,"&lt;&gt;"&amp;"")+COUNTIFS($K$3:$K$228,X5,$P$3:$P$228,"E",$J$3:$J$228,"&lt;&gt;"&amp;"")</f>
        <v>0</v>
      </c>
      <c r="AC5" s="60">
        <f>COUNTIFS($G$3:$G$228,X5,$B$3:$B$228,"D")+COUNTIFS($K$3:$K$228,X5,$P$3:$P$228,"D")</f>
        <v>2</v>
      </c>
      <c r="AD5" s="60">
        <f>SUMIFS($C$3:$C$228,$G$3:$G$228,X5)+SUMIFS($O$3:$O$228,$K$3:$K$228,X5)</f>
        <v>560.53</v>
      </c>
      <c r="AE5" s="60">
        <f>SUMIFS($D$3:$D$228,$G$3:$G$228,X5)+SUMIFS($N$3:$N$228,$K$3:$K$228,X5)</f>
        <v>426.46000000000004</v>
      </c>
      <c r="AF5" s="90">
        <f>SUM(AD5-AE5)</f>
        <v>134.06999999999994</v>
      </c>
      <c r="AG5" s="21">
        <f>SUM(AD5/Z5)</f>
        <v>70.066249999999997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79</v>
      </c>
      <c r="Y6" s="39">
        <f>SUM((AA6*3)+AB6)</f>
        <v>16</v>
      </c>
      <c r="Z6" s="39">
        <f>SUM(AA6+AB6+AC6)</f>
        <v>8</v>
      </c>
      <c r="AA6" s="39">
        <f>COUNTIFS($G$3:$G$228,X6,$B$3:$B$228,"V")+COUNTIFS($K$3:$K$228,X6,$P$3:$P$228,"V")</f>
        <v>5</v>
      </c>
      <c r="AB6" s="39">
        <f>COUNTIFS($G$3:$G$228,X6,$B$3:$B$228,"E",$H$3:$H$228,"&lt;&gt;"&amp;"")+COUNTIFS($K$3:$K$228,X6,$P$3:$P$228,"E",$J$3:$J$228,"&lt;&gt;"&amp;"")</f>
        <v>1</v>
      </c>
      <c r="AC6" s="39">
        <f>COUNTIFS($G$3:$G$228,X6,$B$3:$B$228,"D")+COUNTIFS($K$3:$K$228,X6,$P$3:$P$228,"D")</f>
        <v>2</v>
      </c>
      <c r="AD6" s="39">
        <f>SUMIFS($C$3:$C$228,$G$3:$G$228,X6)+SUMIFS($O$3:$O$228,$K$3:$K$228,X6)</f>
        <v>721.97</v>
      </c>
      <c r="AE6" s="39">
        <f>SUMIFS($D$3:$D$228,$G$3:$G$228,X6)+SUMIFS($N$3:$N$228,$K$3:$K$228,X6)</f>
        <v>398.65</v>
      </c>
      <c r="AF6" s="39">
        <f>SUM(AD6-AE6)</f>
        <v>323.32000000000005</v>
      </c>
      <c r="AG6" s="21">
        <f>SUM(AD6/Z6)</f>
        <v>90.246250000000003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7" t="s">
        <v>75</v>
      </c>
      <c r="Y7" s="60">
        <f>SUM((AA7*3)+AB7)</f>
        <v>16</v>
      </c>
      <c r="Z7" s="60">
        <f>SUM(AA7+AB7+AC7)</f>
        <v>8</v>
      </c>
      <c r="AA7" s="60">
        <f>COUNTIFS($G$3:$G$228,X7,$B$3:$B$228,"V")+COUNTIFS($K$3:$K$228,X7,$P$3:$P$228,"V")</f>
        <v>5</v>
      </c>
      <c r="AB7" s="60">
        <f>COUNTIFS($G$3:$G$228,X7,$B$3:$B$228,"E",$H$3:$H$228,"&lt;&gt;"&amp;"")+COUNTIFS($K$3:$K$228,X7,$P$3:$P$228,"E",$J$3:$J$228,"&lt;&gt;"&amp;"")</f>
        <v>1</v>
      </c>
      <c r="AC7" s="60">
        <f>COUNTIFS($G$3:$G$228,X7,$B$3:$B$228,"D")+COUNTIFS($K$3:$K$228,X7,$P$3:$P$228,"D")</f>
        <v>2</v>
      </c>
      <c r="AD7" s="60">
        <f>SUMIFS($C$3:$C$228,$G$3:$G$228,X7)+SUMIFS($O$3:$O$228,$K$3:$K$228,X7)</f>
        <v>669.68</v>
      </c>
      <c r="AE7" s="60">
        <f>SUMIFS($D$3:$D$228,$G$3:$G$228,X7)+SUMIFS($N$3:$N$228,$K$3:$K$228,X7)</f>
        <v>556.03</v>
      </c>
      <c r="AF7" s="60">
        <f>SUM(AD7-AE7)</f>
        <v>113.64999999999998</v>
      </c>
      <c r="AG7" s="21">
        <f>SUM(AD7/Z7)</f>
        <v>83.71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7" t="s">
        <v>88</v>
      </c>
      <c r="Y8" s="61">
        <f>SUM((AA8*3)+AB8)</f>
        <v>16</v>
      </c>
      <c r="Z8" s="61">
        <f>SUM(AA8+AB8+AC8)</f>
        <v>8</v>
      </c>
      <c r="AA8" s="60">
        <f>COUNTIFS($G$3:$G$228,X8,$B$3:$B$228,"V")+COUNTIFS($K$3:$K$228,X8,$P$3:$P$228,"V")</f>
        <v>5</v>
      </c>
      <c r="AB8" s="60">
        <f>COUNTIFS($G$3:$G$228,X8,$B$3:$B$228,"E",$H$3:$H$228,"&lt;&gt;"&amp;"")+COUNTIFS($K$3:$K$228,X8,$P$3:$P$228,"E",$J$3:$J$228,"&lt;&gt;"&amp;"")</f>
        <v>1</v>
      </c>
      <c r="AC8" s="60">
        <f>COUNTIFS($G$3:$G$228,X8,$B$3:$B$228,"D")+COUNTIFS($K$3:$K$228,X8,$P$3:$P$228,"D")</f>
        <v>2</v>
      </c>
      <c r="AD8" s="60">
        <f>SUMIFS($C$3:$C$228,$G$3:$G$228,X8)+SUMIFS($O$3:$O$228,$K$3:$K$228,X8)</f>
        <v>637.05999999999995</v>
      </c>
      <c r="AE8" s="60">
        <f>SUMIFS($D$3:$D$228,$G$3:$G$228,X8)+SUMIFS($N$3:$N$228,$K$3:$K$228,X8)</f>
        <v>531.49</v>
      </c>
      <c r="AF8" s="61">
        <f>SUM(AD8-AE8)</f>
        <v>105.56999999999994</v>
      </c>
      <c r="AG8" s="21">
        <f>SUM(AD8/Z8)</f>
        <v>79.632499999999993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76</v>
      </c>
      <c r="Y9" s="60">
        <f>SUM((AA9*3)+AB9)</f>
        <v>15</v>
      </c>
      <c r="Z9" s="60">
        <f>SUM(AA9+AB9+AC9)</f>
        <v>8</v>
      </c>
      <c r="AA9" s="60">
        <f>COUNTIFS($G$3:$G$228,X9,$B$3:$B$228,"V")+COUNTIFS($K$3:$K$228,X9,$P$3:$P$228,"V")</f>
        <v>4</v>
      </c>
      <c r="AB9" s="60">
        <f>COUNTIFS($G$3:$G$228,X9,$B$3:$B$228,"E",$H$3:$H$228,"&lt;&gt;"&amp;"")+COUNTIFS($K$3:$K$228,X9,$P$3:$P$228,"E",$J$3:$J$228,"&lt;&gt;"&amp;"")</f>
        <v>3</v>
      </c>
      <c r="AC9" s="60">
        <f>COUNTIFS($G$3:$G$228,X9,$B$3:$B$228,"D")+COUNTIFS($K$3:$K$228,X9,$P$3:$P$228,"D")</f>
        <v>1</v>
      </c>
      <c r="AD9" s="60">
        <f>SUMIFS($C$3:$C$228,$G$3:$G$228,X9)+SUMIFS($O$3:$O$228,$K$3:$K$228,X9)</f>
        <v>653.21</v>
      </c>
      <c r="AE9" s="60">
        <f>SUMIFS($D$3:$D$228,$G$3:$G$228,X9)+SUMIFS($N$3:$N$228,$K$3:$K$228,X9)</f>
        <v>598.33000000000004</v>
      </c>
      <c r="AF9" s="60">
        <f>SUM(AD9-AE9)</f>
        <v>54.879999999999995</v>
      </c>
      <c r="AG9" s="21">
        <f>SUM(AD9/Z9)</f>
        <v>81.651250000000005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84</v>
      </c>
      <c r="Y10" s="39">
        <f>SUM((AA10*3)+AB10)</f>
        <v>14</v>
      </c>
      <c r="Z10" s="39">
        <f>SUM(AA10+AB10+AC10)</f>
        <v>8</v>
      </c>
      <c r="AA10" s="39">
        <f>COUNTIFS($G$3:$G$228,X10,$B$3:$B$228,"V")+COUNTIFS($K$3:$K$228,X10,$P$3:$P$228,"V")</f>
        <v>4</v>
      </c>
      <c r="AB10" s="39">
        <f>COUNTIFS($G$3:$G$228,X10,$B$3:$B$228,"E",$H$3:$H$228,"&lt;&gt;"&amp;"")+COUNTIFS($K$3:$K$228,X10,$P$3:$P$228,"E",$J$3:$J$228,"&lt;&gt;"&amp;"")</f>
        <v>2</v>
      </c>
      <c r="AC10" s="39">
        <f>COUNTIFS($G$3:$G$228,X10,$B$3:$B$228,"D")+COUNTIFS($K$3:$K$228,X10,$P$3:$P$228,"D")</f>
        <v>2</v>
      </c>
      <c r="AD10" s="39">
        <f>SUMIFS($C$3:$C$228,$G$3:$G$228,X10)+SUMIFS($O$3:$O$228,$K$3:$K$228,X10)</f>
        <v>582.13</v>
      </c>
      <c r="AE10" s="39">
        <f>SUMIFS($D$3:$D$228,$G$3:$G$228,X10)+SUMIFS($N$3:$N$228,$K$3:$K$228,X10)</f>
        <v>498.54999999999995</v>
      </c>
      <c r="AF10" s="39">
        <f>SUM(AD10-AE10)</f>
        <v>83.580000000000041</v>
      </c>
      <c r="AG10" s="21">
        <f>SUM(AD10/Z10)</f>
        <v>72.766249999999999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7" t="s">
        <v>61</v>
      </c>
      <c r="Y11" s="60">
        <f>SUM((AA11*3)+AB11)</f>
        <v>13</v>
      </c>
      <c r="Z11" s="60">
        <f>SUM(AA11+AB11+AC11)</f>
        <v>8</v>
      </c>
      <c r="AA11" s="60">
        <f>COUNTIFS($G$3:$G$228,X11,$B$3:$B$228,"V")+COUNTIFS($K$3:$K$228,X11,$P$3:$P$228,"V")</f>
        <v>4</v>
      </c>
      <c r="AB11" s="60">
        <f>COUNTIFS($G$3:$G$228,X11,$B$3:$B$228,"E",$H$3:$H$228,"&lt;&gt;"&amp;"")+COUNTIFS($K$3:$K$228,X11,$P$3:$P$228,"E",$J$3:$J$228,"&lt;&gt;"&amp;"")</f>
        <v>1</v>
      </c>
      <c r="AC11" s="60">
        <f>COUNTIFS($G$3:$G$228,X11,$B$3:$B$228,"D")+COUNTIFS($K$3:$K$228,X11,$P$3:$P$228,"D")</f>
        <v>3</v>
      </c>
      <c r="AD11" s="60">
        <f>SUMIFS($C$3:$C$228,$G$3:$G$228,X11)+SUMIFS($O$3:$O$228,$K$3:$K$228,X11)</f>
        <v>628.08000000000004</v>
      </c>
      <c r="AE11" s="60">
        <f>SUMIFS($D$3:$D$228,$G$3:$G$228,X11)+SUMIFS($N$3:$N$228,$K$3:$K$228,X11)</f>
        <v>565.97</v>
      </c>
      <c r="AF11" s="60">
        <f>SUM(AD11-AE11)</f>
        <v>62.110000000000014</v>
      </c>
      <c r="AG11" s="21">
        <f>SUM(AD11/Z11)</f>
        <v>78.510000000000005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74</v>
      </c>
      <c r="Y12" s="60">
        <f>SUM((AA12*3)+AB12)</f>
        <v>13</v>
      </c>
      <c r="Z12" s="60">
        <f>SUM(AA12+AB12+AC12)</f>
        <v>8</v>
      </c>
      <c r="AA12" s="60">
        <f>COUNTIFS($G$3:$G$228,X12,$B$3:$B$228,"V")+COUNTIFS($K$3:$K$228,X12,$P$3:$P$228,"V")</f>
        <v>4</v>
      </c>
      <c r="AB12" s="60">
        <f>COUNTIFS($G$3:$G$228,X12,$B$3:$B$228,"E",$H$3:$H$228,"&lt;&gt;"&amp;"")+COUNTIFS($K$3:$K$228,X12,$P$3:$P$228,"E",$J$3:$J$228,"&lt;&gt;"&amp;"")</f>
        <v>1</v>
      </c>
      <c r="AC12" s="60">
        <f>COUNTIFS($G$3:$G$228,X12,$B$3:$B$228,"D")+COUNTIFS($K$3:$K$228,X12,$P$3:$P$228,"D")</f>
        <v>3</v>
      </c>
      <c r="AD12" s="60">
        <f>SUMIFS($C$3:$C$228,$G$3:$G$228,X12)+SUMIFS($O$3:$O$228,$K$3:$K$228,X12)</f>
        <v>398.47</v>
      </c>
      <c r="AE12" s="60">
        <f>SUMIFS($D$3:$D$228,$G$3:$G$228,X12)+SUMIFS($N$3:$N$228,$K$3:$K$228,X12)</f>
        <v>448.77</v>
      </c>
      <c r="AF12" s="60">
        <f>SUM(AD12-AE12)</f>
        <v>-50.299999999999955</v>
      </c>
      <c r="AG12" s="21">
        <f>SUM(AD12/Z12)</f>
        <v>49.808750000000003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69</v>
      </c>
      <c r="Y13" s="39">
        <f>SUM((AA13*3)+AB13)</f>
        <v>12</v>
      </c>
      <c r="Z13" s="39">
        <f>SUM(AA13+AB13+AC13)</f>
        <v>8</v>
      </c>
      <c r="AA13" s="39">
        <f>COUNTIFS($G$3:$G$228,X13,$B$3:$B$228,"V")+COUNTIFS($K$3:$K$228,X13,$P$3:$P$228,"V")</f>
        <v>3</v>
      </c>
      <c r="AB13" s="39">
        <f>COUNTIFS($G$3:$G$228,X13,$B$3:$B$228,"E",$H$3:$H$228,"&lt;&gt;"&amp;"")+COUNTIFS($K$3:$K$228,X13,$P$3:$P$228,"E",$J$3:$J$228,"&lt;&gt;"&amp;"")</f>
        <v>3</v>
      </c>
      <c r="AC13" s="39">
        <f>COUNTIFS($G$3:$G$228,X13,$B$3:$B$228,"D")+COUNTIFS($K$3:$K$228,X13,$P$3:$P$228,"D")</f>
        <v>2</v>
      </c>
      <c r="AD13" s="39">
        <f>SUMIFS($C$3:$C$228,$G$3:$G$228,X13)+SUMIFS($O$3:$O$228,$K$3:$K$228,X13)</f>
        <v>625.05999999999995</v>
      </c>
      <c r="AE13" s="39">
        <f>SUMIFS($D$3:$D$228,$G$3:$G$228,X13)+SUMIFS($N$3:$N$228,$K$3:$K$228,X13)</f>
        <v>548.99</v>
      </c>
      <c r="AF13" s="39">
        <f>SUM(AD13-AE13)</f>
        <v>76.069999999999936</v>
      </c>
      <c r="AG13" s="21">
        <f>SUM(AD13/Z13)</f>
        <v>78.132499999999993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>SUM((AA14*3)+AB14)</f>
        <v>11</v>
      </c>
      <c r="Z14" s="43">
        <f>SUM(AA14+AB14+AC14)</f>
        <v>8</v>
      </c>
      <c r="AA14" s="39">
        <f>COUNTIFS($G$3:$G$228,X14,$B$3:$B$228,"V")+COUNTIFS($K$3:$K$228,X14,$P$3:$P$228,"V")</f>
        <v>3</v>
      </c>
      <c r="AB14" s="39">
        <f>COUNTIFS($G$3:$G$228,X14,$B$3:$B$228,"E",$H$3:$H$228,"&lt;&gt;"&amp;"")+COUNTIFS($K$3:$K$228,X14,$P$3:$P$228,"E",$J$3:$J$228,"&lt;&gt;"&amp;"")</f>
        <v>2</v>
      </c>
      <c r="AC14" s="39">
        <f>COUNTIFS($G$3:$G$228,X14,$B$3:$B$228,"D")+COUNTIFS($K$3:$K$228,X14,$P$3:$P$228,"D")</f>
        <v>3</v>
      </c>
      <c r="AD14" s="39">
        <f>SUMIFS($C$3:$C$228,$G$3:$G$228,X14)+SUMIFS($O$3:$O$228,$K$3:$K$228,X14)</f>
        <v>624.64</v>
      </c>
      <c r="AE14" s="39">
        <f>SUMIFS($D$3:$D$228,$G$3:$G$228,X14)+SUMIFS($N$3:$N$228,$K$3:$K$228,X14)</f>
        <v>581.80999999999995</v>
      </c>
      <c r="AF14" s="43">
        <f>SUM(AD14-AE14)</f>
        <v>42.830000000000041</v>
      </c>
      <c r="AG14" s="21">
        <f>SUM(AD14/Z14)</f>
        <v>78.08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80</v>
      </c>
      <c r="Y15" s="39">
        <f>SUM((AA15*3)+AB15)</f>
        <v>10</v>
      </c>
      <c r="Z15" s="39">
        <f>SUM(AA15+AB15+AC15)</f>
        <v>8</v>
      </c>
      <c r="AA15" s="39">
        <f>COUNTIFS($G$3:$G$228,X15,$B$3:$B$228,"V")+COUNTIFS($K$3:$K$228,X15,$P$3:$P$228,"V")</f>
        <v>3</v>
      </c>
      <c r="AB15" s="39">
        <f>COUNTIFS($G$3:$G$228,X15,$B$3:$B$228,"E",$H$3:$H$228,"&lt;&gt;"&amp;"")+COUNTIFS($K$3:$K$228,X15,$P$3:$P$228,"E",$J$3:$J$228,"&lt;&gt;"&amp;"")</f>
        <v>1</v>
      </c>
      <c r="AC15" s="39">
        <f>COUNTIFS($G$3:$G$228,X15,$B$3:$B$228,"D")+COUNTIFS($K$3:$K$228,X15,$P$3:$P$228,"D")</f>
        <v>4</v>
      </c>
      <c r="AD15" s="39">
        <f>SUMIFS($C$3:$C$228,$G$3:$G$228,X15)+SUMIFS($O$3:$O$228,$K$3:$K$228,X15)</f>
        <v>352.01</v>
      </c>
      <c r="AE15" s="39">
        <f>SUMIFS($D$3:$D$228,$G$3:$G$228,X15)+SUMIFS($N$3:$N$228,$K$3:$K$228,X15)</f>
        <v>461.65999999999997</v>
      </c>
      <c r="AF15" s="39">
        <f>SUM(AD15-AE15)</f>
        <v>-109.64999999999998</v>
      </c>
      <c r="AG15" s="21">
        <f>SUM(AD15/Z15)</f>
        <v>44.001249999999999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81</v>
      </c>
      <c r="Y16" s="60">
        <f>SUM((AA16*3)+AB16)</f>
        <v>6</v>
      </c>
      <c r="Z16" s="60">
        <f>SUM(AA16+AB16+AC16)</f>
        <v>8</v>
      </c>
      <c r="AA16" s="60">
        <f>COUNTIFS($G$3:$G$228,X16,$B$3:$B$228,"V")+COUNTIFS($K$3:$K$228,X16,$P$3:$P$228,"V")</f>
        <v>2</v>
      </c>
      <c r="AB16" s="60">
        <f>COUNTIFS($G$3:$G$228,X16,$B$3:$B$228,"E",$H$3:$H$228,"&lt;&gt;"&amp;"")+COUNTIFS($K$3:$K$228,X16,$P$3:$P$228,"E",$J$3:$J$228,"&lt;&gt;"&amp;"")</f>
        <v>0</v>
      </c>
      <c r="AC16" s="60">
        <f>COUNTIFS($G$3:$G$228,X16,$B$3:$B$228,"D")+COUNTIFS($K$3:$K$228,X16,$P$3:$P$228,"D")</f>
        <v>6</v>
      </c>
      <c r="AD16" s="60">
        <f>SUMIFS($C$3:$C$228,$G$3:$G$228,X16)+SUMIFS($O$3:$O$228,$K$3:$K$228,X16)</f>
        <v>522.85</v>
      </c>
      <c r="AE16" s="60">
        <f>SUMIFS($D$3:$D$228,$G$3:$G$228,X16)+SUMIFS($N$3:$N$228,$K$3:$K$228,X16)</f>
        <v>545.88</v>
      </c>
      <c r="AF16" s="60">
        <f>SUM(AD16-AE16)</f>
        <v>-23.029999999999973</v>
      </c>
      <c r="AG16" s="21">
        <f>SUM(AD16/Z16)</f>
        <v>65.356250000000003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64</v>
      </c>
      <c r="Y17" s="39">
        <f>SUM((AA17*3)+AB17)</f>
        <v>5</v>
      </c>
      <c r="Z17" s="39">
        <f>SUM(AA17+AB17+AC17)</f>
        <v>8</v>
      </c>
      <c r="AA17" s="39">
        <f>COUNTIFS($G$3:$G$228,X17,$B$3:$B$228,"V")+COUNTIFS($K$3:$K$228,X17,$P$3:$P$228,"V")</f>
        <v>1</v>
      </c>
      <c r="AB17" s="39">
        <f>COUNTIFS($G$3:$G$228,X17,$B$3:$B$228,"E",$H$3:$H$228,"&lt;&gt;"&amp;"")+COUNTIFS($K$3:$K$228,X17,$P$3:$P$228,"E",$J$3:$J$228,"&lt;&gt;"&amp;"")</f>
        <v>2</v>
      </c>
      <c r="AC17" s="39">
        <f>COUNTIFS($G$3:$G$228,X17,$B$3:$B$228,"D")+COUNTIFS($K$3:$K$228,X17,$P$3:$P$228,"D")</f>
        <v>5</v>
      </c>
      <c r="AD17" s="39">
        <f>SUMIFS($C$3:$C$228,$G$3:$G$228,X17)+SUMIFS($O$3:$O$228,$K$3:$K$228,X17)</f>
        <v>520.38</v>
      </c>
      <c r="AE17" s="39">
        <f>SUMIFS($D$3:$D$228,$G$3:$G$228,X17)+SUMIFS($N$3:$N$228,$K$3:$K$228,X17)</f>
        <v>634.62</v>
      </c>
      <c r="AF17" s="39">
        <f>SUM(AD17-AE17)</f>
        <v>-114.24000000000001</v>
      </c>
      <c r="AG17" s="21">
        <f>SUM(AD17/Z17)</f>
        <v>65.047499999999999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66</v>
      </c>
      <c r="Y18" s="39">
        <f>SUM((AA18*3)+AB18)</f>
        <v>5</v>
      </c>
      <c r="Z18" s="39">
        <f>SUM(AA18+AB18+AC18)</f>
        <v>8</v>
      </c>
      <c r="AA18" s="39">
        <f>COUNTIFS($G$3:$G$228,X18,$B$3:$B$228,"V")+COUNTIFS($K$3:$K$228,X18,$P$3:$P$228,"V")</f>
        <v>1</v>
      </c>
      <c r="AB18" s="39">
        <f>COUNTIFS($G$3:$G$228,X18,$B$3:$B$228,"E",$H$3:$H$228,"&lt;&gt;"&amp;"")+COUNTIFS($K$3:$K$228,X18,$P$3:$P$228,"E",$J$3:$J$228,"&lt;&gt;"&amp;"")</f>
        <v>2</v>
      </c>
      <c r="AC18" s="39">
        <f>COUNTIFS($G$3:$G$228,X18,$B$3:$B$228,"D")+COUNTIFS($K$3:$K$228,X18,$P$3:$P$228,"D")</f>
        <v>5</v>
      </c>
      <c r="AD18" s="39">
        <f>SUMIFS($C$3:$C$228,$G$3:$G$228,X18)+SUMIFS($O$3:$O$228,$K$3:$K$228,X18)</f>
        <v>523.18000000000006</v>
      </c>
      <c r="AE18" s="39">
        <f>SUMIFS($D$3:$D$228,$G$3:$G$228,X18)+SUMIFS($N$3:$N$228,$K$3:$K$228,X18)</f>
        <v>698.5</v>
      </c>
      <c r="AF18" s="39">
        <f>SUM(AD18-AE18)</f>
        <v>-175.31999999999994</v>
      </c>
      <c r="AG18" s="21">
        <f>SUM(AD18/Z18)</f>
        <v>65.397500000000008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106</v>
      </c>
      <c r="Y19" s="43">
        <f>SUM((AA19*3)+AB19)</f>
        <v>5</v>
      </c>
      <c r="Z19" s="43">
        <f>SUM(AA19+AB19+AC19)</f>
        <v>8</v>
      </c>
      <c r="AA19" s="39">
        <f>COUNTIFS($G$3:$G$228,X19,$B$3:$B$228,"V")+COUNTIFS($K$3:$K$228,X19,$P$3:$P$228,"V")</f>
        <v>1</v>
      </c>
      <c r="AB19" s="39">
        <f>COUNTIFS($G$3:$G$228,X19,$B$3:$B$228,"E",$H$3:$H$228,"&lt;&gt;"&amp;"")+COUNTIFS($K$3:$K$228,X19,$P$3:$P$228,"E",$J$3:$J$228,"&lt;&gt;"&amp;"")</f>
        <v>2</v>
      </c>
      <c r="AC19" s="39">
        <f>COUNTIFS($G$3:$G$228,X19,$B$3:$B$228,"D")+COUNTIFS($K$3:$K$228,X19,$P$3:$P$228,"D")</f>
        <v>5</v>
      </c>
      <c r="AD19" s="39">
        <f>SUMIFS($C$3:$C$228,$G$3:$G$228,X19)+SUMIFS($O$3:$O$228,$K$3:$K$228,X19)</f>
        <v>416.07000000000005</v>
      </c>
      <c r="AE19" s="39">
        <f>SUMIFS($D$3:$D$228,$G$3:$G$228,X19)+SUMIFS($N$3:$N$228,$K$3:$K$228,X19)</f>
        <v>604.51</v>
      </c>
      <c r="AF19" s="43">
        <f>SUM(AD19-AE19)</f>
        <v>-188.43999999999994</v>
      </c>
      <c r="AG19" s="21">
        <f>SUM(AD19/Z19)</f>
        <v>52.008750000000006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71</v>
      </c>
      <c r="Y20" s="60">
        <f>SUM((AA20*3)+AB20)</f>
        <v>4</v>
      </c>
      <c r="Z20" s="60">
        <f>SUM(AA20+AB20+AC20)</f>
        <v>8</v>
      </c>
      <c r="AA20" s="60">
        <f>COUNTIFS($G$3:$G$228,X20,$B$3:$B$228,"V")+COUNTIFS($K$3:$K$228,X20,$P$3:$P$228,"V")</f>
        <v>1</v>
      </c>
      <c r="AB20" s="60">
        <f>COUNTIFS($G$3:$G$228,X20,$B$3:$B$228,"E",$H$3:$H$228,"&lt;&gt;"&amp;"")+COUNTIFS($K$3:$K$228,X20,$P$3:$P$228,"E",$J$3:$J$228,"&lt;&gt;"&amp;"")</f>
        <v>1</v>
      </c>
      <c r="AC20" s="60">
        <f>COUNTIFS($G$3:$G$228,X20,$B$3:$B$228,"D")+COUNTIFS($K$3:$K$228,X20,$P$3:$P$228,"D")</f>
        <v>6</v>
      </c>
      <c r="AD20" s="60">
        <f>SUMIFS($C$3:$C$228,$G$3:$G$228,X20)+SUMIFS($O$3:$O$228,$K$3:$K$228,X20)</f>
        <v>514.94000000000005</v>
      </c>
      <c r="AE20" s="60">
        <f>SUMIFS($D$3:$D$228,$G$3:$G$228,X20)+SUMIFS($N$3:$N$228,$K$3:$K$228,X20)</f>
        <v>702.54</v>
      </c>
      <c r="AF20" s="60">
        <f>SUM(AD20-AE20)</f>
        <v>-187.59999999999991</v>
      </c>
      <c r="AG20" s="21">
        <f>SUM(AD20/Z20)</f>
        <v>64.367500000000007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77</v>
      </c>
      <c r="Y21" s="39">
        <f>SUM((AA21*3)+AB21)</f>
        <v>3</v>
      </c>
      <c r="Z21" s="39">
        <f>SUM(AA21+AB21+AC21)</f>
        <v>8</v>
      </c>
      <c r="AA21" s="39">
        <f>COUNTIFS($G$3:$G$228,X21,$B$3:$B$228,"V")+COUNTIFS($K$3:$K$228,X21,$P$3:$P$228,"V")</f>
        <v>1</v>
      </c>
      <c r="AB21" s="39">
        <f>COUNTIFS($G$3:$G$228,X21,$B$3:$B$228,"E",$H$3:$H$228,"&lt;&gt;"&amp;"")+COUNTIFS($K$3:$K$228,X21,$P$3:$P$228,"E",$J$3:$J$228,"&lt;&gt;"&amp;"")</f>
        <v>0</v>
      </c>
      <c r="AC21" s="39">
        <f>COUNTIFS($G$3:$G$228,X21,$B$3:$B$228,"D")+COUNTIFS($K$3:$K$228,X21,$P$3:$P$228,"D")</f>
        <v>7</v>
      </c>
      <c r="AD21" s="39">
        <f>SUMIFS($C$3:$C$228,$G$3:$G$228,X21)+SUMIFS($O$3:$O$228,$K$3:$K$228,X21)</f>
        <v>334.24</v>
      </c>
      <c r="AE21" s="39">
        <f>SUMIFS($D$3:$D$228,$G$3:$G$228,X21)+SUMIFS($N$3:$N$228,$K$3:$K$228,X21)</f>
        <v>649.39</v>
      </c>
      <c r="AF21" s="60">
        <f>SUM(AD21-AE21)</f>
        <v>-315.14999999999998</v>
      </c>
      <c r="AG21" s="21">
        <f>SUM(AD21/Z21)</f>
        <v>41.78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60</v>
      </c>
      <c r="Y22" s="88">
        <f>SUM((AA22*3)+AB22)</f>
        <v>3</v>
      </c>
      <c r="Z22" s="88">
        <f>SUM(AA22+AB22+AC22)</f>
        <v>8</v>
      </c>
      <c r="AA22" s="62">
        <f>COUNTIFS($G$3:$G$228,X22,$B$3:$B$228,"V")+COUNTIFS($K$3:$K$228,X22,$P$3:$P$228,"V")</f>
        <v>0</v>
      </c>
      <c r="AB22" s="62">
        <f>COUNTIFS($G$3:$G$228,X22,$B$3:$B$228,"E",$H$3:$H$228,"&lt;&gt;"&amp;"")+COUNTIFS($K$3:$K$228,X22,$P$3:$P$228,"E",$J$3:$J$228,"&lt;&gt;"&amp;"")</f>
        <v>3</v>
      </c>
      <c r="AC22" s="62">
        <f>COUNTIFS($G$3:$G$228,X22,$B$3:$B$228,"D")+COUNTIFS($K$3:$K$228,X22,$P$3:$P$228,"D")</f>
        <v>5</v>
      </c>
      <c r="AD22" s="62">
        <f>SUMIFS($C$3:$C$228,$G$3:$G$228,X22)+SUMIFS($O$3:$O$228,$K$3:$K$228,X22)</f>
        <v>429.66999999999996</v>
      </c>
      <c r="AE22" s="62">
        <f>SUMIFS($D$3:$D$228,$G$3:$G$228,X22)+SUMIFS($N$3:$N$228,$K$3:$K$228,X22)</f>
        <v>609.57999999999993</v>
      </c>
      <c r="AF22" s="88">
        <f>SUM(AD22-AE22)</f>
        <v>-179.90999999999997</v>
      </c>
      <c r="AG22" s="22">
        <f>SUM(AD22/Z22)</f>
        <v>53.708749999999995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72.95</v>
      </c>
      <c r="B63" s="5" t="str">
        <f t="shared" si="8"/>
        <v>V</v>
      </c>
      <c r="C63" s="5">
        <f t="shared" si="2"/>
        <v>72.95</v>
      </c>
      <c r="D63" s="5">
        <f t="shared" si="3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4"/>
        <v>72.95</v>
      </c>
      <c r="O63" s="5">
        <f t="shared" si="5"/>
        <v>0</v>
      </c>
      <c r="P63" s="5" t="str">
        <f t="shared" si="6"/>
        <v>D</v>
      </c>
      <c r="Q63" s="5">
        <f t="shared" si="7"/>
        <v>-72.95</v>
      </c>
      <c r="X63" s="26"/>
    </row>
    <row r="64" spans="1:24" ht="17.25" customHeight="1" x14ac:dyDescent="0.25">
      <c r="A64" s="5">
        <f t="shared" si="0"/>
        <v>55.78</v>
      </c>
      <c r="B64" s="5" t="str">
        <f t="shared" si="8"/>
        <v>V</v>
      </c>
      <c r="C64" s="5">
        <f t="shared" si="2"/>
        <v>124.83</v>
      </c>
      <c r="D64" s="5">
        <f t="shared" si="3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4"/>
        <v>124.83</v>
      </c>
      <c r="O64" s="5">
        <f t="shared" si="5"/>
        <v>69.05</v>
      </c>
      <c r="P64" s="5" t="str">
        <f t="shared" si="6"/>
        <v>D</v>
      </c>
      <c r="Q64" s="5">
        <f t="shared" si="7"/>
        <v>-55.78</v>
      </c>
      <c r="X64" s="26"/>
    </row>
    <row r="65" spans="1:24" ht="17.25" customHeight="1" x14ac:dyDescent="0.25">
      <c r="A65" s="5">
        <f t="shared" si="0"/>
        <v>7.4500000000000028</v>
      </c>
      <c r="B65" s="5" t="str">
        <f t="shared" si="8"/>
        <v>V</v>
      </c>
      <c r="C65" s="5">
        <f t="shared" si="2"/>
        <v>63.45</v>
      </c>
      <c r="D65" s="5">
        <f t="shared" si="3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4"/>
        <v>63.45</v>
      </c>
      <c r="O65" s="5">
        <f t="shared" si="5"/>
        <v>56</v>
      </c>
      <c r="P65" s="5" t="str">
        <f t="shared" si="6"/>
        <v>D</v>
      </c>
      <c r="Q65" s="5">
        <f t="shared" si="7"/>
        <v>-7.4500000000000028</v>
      </c>
      <c r="X65" s="27"/>
    </row>
    <row r="66" spans="1:24" ht="17.25" customHeight="1" x14ac:dyDescent="0.25">
      <c r="A66" s="5">
        <f t="shared" si="0"/>
        <v>2.3399999999999892</v>
      </c>
      <c r="B66" s="5" t="str">
        <f t="shared" si="8"/>
        <v>E</v>
      </c>
      <c r="C66" s="5">
        <f t="shared" si="2"/>
        <v>72.349999999999994</v>
      </c>
      <c r="D66" s="5">
        <f t="shared" si="3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4"/>
        <v>72.349999999999994</v>
      </c>
      <c r="O66" s="5">
        <f t="shared" si="5"/>
        <v>70.010000000000005</v>
      </c>
      <c r="P66" s="5" t="str">
        <f t="shared" si="6"/>
        <v>E</v>
      </c>
      <c r="Q66" s="5">
        <f t="shared" si="7"/>
        <v>-2.3399999999999892</v>
      </c>
      <c r="X66" s="26"/>
    </row>
    <row r="67" spans="1:24" ht="17.25" customHeight="1" x14ac:dyDescent="0.25">
      <c r="A67" s="5">
        <f t="shared" si="0"/>
        <v>24.71</v>
      </c>
      <c r="B67" s="5" t="str">
        <f t="shared" si="8"/>
        <v>V</v>
      </c>
      <c r="C67" s="5">
        <f t="shared" si="2"/>
        <v>83.95</v>
      </c>
      <c r="D67" s="5">
        <f t="shared" si="3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4"/>
        <v>83.95</v>
      </c>
      <c r="O67" s="5">
        <f t="shared" si="5"/>
        <v>59.24</v>
      </c>
      <c r="P67" s="5" t="str">
        <f t="shared" si="6"/>
        <v>D</v>
      </c>
      <c r="Q67" s="5">
        <f t="shared" si="7"/>
        <v>-24.71</v>
      </c>
      <c r="X67" s="26"/>
    </row>
    <row r="68" spans="1:24" ht="17.25" customHeight="1" x14ac:dyDescent="0.25">
      <c r="A68" s="5">
        <f t="shared" ref="A68:A131" si="9">C68-D68</f>
        <v>-12.790000000000006</v>
      </c>
      <c r="B68" s="5" t="str">
        <f t="shared" si="8"/>
        <v>D</v>
      </c>
      <c r="C68" s="5">
        <f t="shared" ref="C68:C131" si="10">H68</f>
        <v>84.69</v>
      </c>
      <c r="D68" s="5">
        <f t="shared" ref="D68:D131" si="11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12">H68</f>
        <v>84.69</v>
      </c>
      <c r="O68" s="5">
        <f t="shared" ref="O68:O131" si="13">J68</f>
        <v>97.48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12.790000000000006</v>
      </c>
      <c r="X68" s="26"/>
    </row>
    <row r="69" spans="1:24" ht="17.25" customHeight="1" x14ac:dyDescent="0.25">
      <c r="A69" s="5">
        <f t="shared" si="9"/>
        <v>-38.150000000000006</v>
      </c>
      <c r="B69" s="5" t="str">
        <f t="shared" si="8"/>
        <v>D</v>
      </c>
      <c r="C69" s="5">
        <f t="shared" si="10"/>
        <v>52.39</v>
      </c>
      <c r="D69" s="5">
        <f t="shared" si="11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12"/>
        <v>52.39</v>
      </c>
      <c r="O69" s="5">
        <f t="shared" si="13"/>
        <v>90.54</v>
      </c>
      <c r="P69" s="5" t="str">
        <f t="shared" si="14"/>
        <v>V</v>
      </c>
      <c r="Q69" s="5">
        <f t="shared" si="15"/>
        <v>38.150000000000006</v>
      </c>
      <c r="X69" s="26"/>
    </row>
    <row r="70" spans="1:24" ht="17.25" customHeight="1" x14ac:dyDescent="0.25">
      <c r="A70" s="5">
        <f t="shared" si="9"/>
        <v>-13.989999999999995</v>
      </c>
      <c r="B70" s="5" t="str">
        <f t="shared" si="8"/>
        <v>D</v>
      </c>
      <c r="C70" s="5">
        <f t="shared" si="10"/>
        <v>105.84</v>
      </c>
      <c r="D70" s="5">
        <f t="shared" si="11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12"/>
        <v>105.84</v>
      </c>
      <c r="O70" s="5">
        <f t="shared" si="13"/>
        <v>119.83</v>
      </c>
      <c r="P70" s="5" t="str">
        <f t="shared" si="14"/>
        <v>V</v>
      </c>
      <c r="Q70" s="5">
        <f t="shared" si="15"/>
        <v>13.989999999999995</v>
      </c>
      <c r="X70" s="27"/>
    </row>
    <row r="71" spans="1:24" ht="17.25" customHeight="1" x14ac:dyDescent="0.25">
      <c r="A71" s="5">
        <f t="shared" si="9"/>
        <v>6.6599999999999966</v>
      </c>
      <c r="B71" s="5" t="str">
        <f t="shared" si="8"/>
        <v>V</v>
      </c>
      <c r="C71" s="5">
        <f t="shared" si="10"/>
        <v>86.94</v>
      </c>
      <c r="D71" s="5">
        <f t="shared" si="11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89">
        <v>80.28</v>
      </c>
      <c r="K71" s="2" t="s">
        <v>62</v>
      </c>
      <c r="L71" s="45" t="s">
        <v>63</v>
      </c>
      <c r="M71" s="4"/>
      <c r="N71" s="5">
        <f t="shared" si="12"/>
        <v>86.94</v>
      </c>
      <c r="O71" s="5">
        <f t="shared" si="13"/>
        <v>80.28</v>
      </c>
      <c r="P71" s="5" t="str">
        <f t="shared" si="14"/>
        <v>D</v>
      </c>
      <c r="Q71" s="5">
        <f t="shared" si="15"/>
        <v>-6.6599999999999966</v>
      </c>
      <c r="X71" s="26"/>
    </row>
    <row r="72" spans="1:24" ht="17.25" customHeight="1" x14ac:dyDescent="0.25">
      <c r="A72" s="5">
        <f t="shared" si="9"/>
        <v>-72.89</v>
      </c>
      <c r="B72" s="5" t="str">
        <f t="shared" si="8"/>
        <v>D</v>
      </c>
      <c r="C72" s="5">
        <f t="shared" si="10"/>
        <v>48.84</v>
      </c>
      <c r="D72" s="5">
        <f t="shared" si="11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12"/>
        <v>48.84</v>
      </c>
      <c r="O72" s="5">
        <f t="shared" si="13"/>
        <v>121.73</v>
      </c>
      <c r="P72" s="5" t="str">
        <f t="shared" si="14"/>
        <v>V</v>
      </c>
      <c r="Q72" s="5">
        <f t="shared" si="15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23.069999999999993</v>
      </c>
      <c r="B75" s="5" t="str">
        <f t="shared" si="8"/>
        <v>V</v>
      </c>
      <c r="C75" s="5">
        <f t="shared" si="10"/>
        <v>101.58</v>
      </c>
      <c r="D75" s="5">
        <f t="shared" si="11"/>
        <v>78.510000000000005</v>
      </c>
      <c r="E75" s="4"/>
      <c r="F75" s="45" t="s">
        <v>92</v>
      </c>
      <c r="G75" s="2" t="s">
        <v>74</v>
      </c>
      <c r="H75" s="75">
        <v>101.58</v>
      </c>
      <c r="I75" s="2" t="s">
        <v>52</v>
      </c>
      <c r="J75" s="89">
        <v>78.510000000000005</v>
      </c>
      <c r="K75" s="2" t="s">
        <v>66</v>
      </c>
      <c r="L75" s="45" t="s">
        <v>65</v>
      </c>
      <c r="M75" s="4"/>
      <c r="N75" s="5">
        <f t="shared" si="12"/>
        <v>101.58</v>
      </c>
      <c r="O75" s="5">
        <f t="shared" si="13"/>
        <v>78.510000000000005</v>
      </c>
      <c r="P75" s="5" t="str">
        <f t="shared" si="14"/>
        <v>D</v>
      </c>
      <c r="Q75" s="5">
        <f t="shared" si="15"/>
        <v>-23.069999999999993</v>
      </c>
      <c r="X75" s="26"/>
    </row>
    <row r="76" spans="1:24" ht="17.25" customHeight="1" x14ac:dyDescent="0.25">
      <c r="A76" s="5">
        <f t="shared" si="9"/>
        <v>38.230000000000004</v>
      </c>
      <c r="B76" s="5" t="str">
        <f t="shared" si="8"/>
        <v>V</v>
      </c>
      <c r="C76" s="5">
        <f t="shared" si="10"/>
        <v>86.01</v>
      </c>
      <c r="D76" s="5">
        <f t="shared" si="11"/>
        <v>47.78</v>
      </c>
      <c r="E76" s="4"/>
      <c r="F76" s="45" t="s">
        <v>103</v>
      </c>
      <c r="G76" s="2" t="s">
        <v>82</v>
      </c>
      <c r="H76" s="75">
        <v>86.01</v>
      </c>
      <c r="I76" s="2" t="s">
        <v>52</v>
      </c>
      <c r="J76" s="89">
        <v>47.78</v>
      </c>
      <c r="K76" s="2" t="s">
        <v>88</v>
      </c>
      <c r="L76" s="45" t="s">
        <v>98</v>
      </c>
      <c r="M76" s="4"/>
      <c r="N76" s="5">
        <f t="shared" si="12"/>
        <v>86.01</v>
      </c>
      <c r="O76" s="5">
        <f t="shared" si="13"/>
        <v>47.78</v>
      </c>
      <c r="P76" s="5" t="str">
        <f t="shared" si="14"/>
        <v>D</v>
      </c>
      <c r="Q76" s="5">
        <f t="shared" si="15"/>
        <v>-38.230000000000004</v>
      </c>
      <c r="X76" s="26"/>
    </row>
    <row r="77" spans="1:24" ht="17.25" customHeight="1" x14ac:dyDescent="0.25">
      <c r="A77" s="5">
        <f t="shared" si="9"/>
        <v>84.06</v>
      </c>
      <c r="B77" s="5" t="str">
        <f t="shared" si="8"/>
        <v>V</v>
      </c>
      <c r="C77" s="5">
        <f t="shared" si="10"/>
        <v>84.06</v>
      </c>
      <c r="D77" s="5">
        <f t="shared" si="11"/>
        <v>0</v>
      </c>
      <c r="E77" s="4"/>
      <c r="F77" s="45" t="s">
        <v>102</v>
      </c>
      <c r="G77" s="2" t="s">
        <v>81</v>
      </c>
      <c r="H77" s="75">
        <v>84.06</v>
      </c>
      <c r="I77" s="2" t="s">
        <v>52</v>
      </c>
      <c r="J77" s="89">
        <v>0</v>
      </c>
      <c r="K77" s="2" t="s">
        <v>106</v>
      </c>
      <c r="L77" s="45" t="s">
        <v>70</v>
      </c>
      <c r="M77" s="4"/>
      <c r="N77" s="5">
        <f t="shared" si="12"/>
        <v>84.06</v>
      </c>
      <c r="O77" s="5">
        <f t="shared" si="13"/>
        <v>0</v>
      </c>
      <c r="P77" s="5" t="str">
        <f t="shared" si="14"/>
        <v>D</v>
      </c>
      <c r="Q77" s="5">
        <f t="shared" si="15"/>
        <v>-84.06</v>
      </c>
      <c r="X77" s="26"/>
    </row>
    <row r="78" spans="1:24" ht="17.25" customHeight="1" x14ac:dyDescent="0.25">
      <c r="A78" s="5">
        <f t="shared" si="9"/>
        <v>68.3</v>
      </c>
      <c r="B78" s="5" t="str">
        <f t="shared" si="8"/>
        <v>V</v>
      </c>
      <c r="C78" s="5">
        <f t="shared" si="10"/>
        <v>68.3</v>
      </c>
      <c r="D78" s="5">
        <f t="shared" si="11"/>
        <v>0</v>
      </c>
      <c r="E78" s="4"/>
      <c r="F78" s="45" t="s">
        <v>68</v>
      </c>
      <c r="G78" s="2" t="s">
        <v>69</v>
      </c>
      <c r="H78" s="75">
        <v>68.3</v>
      </c>
      <c r="I78" s="2" t="s">
        <v>52</v>
      </c>
      <c r="J78" s="89">
        <v>0</v>
      </c>
      <c r="K78" s="2" t="s">
        <v>77</v>
      </c>
      <c r="L78" s="45" t="s">
        <v>94</v>
      </c>
      <c r="M78" s="4"/>
      <c r="N78" s="5">
        <f t="shared" si="12"/>
        <v>68.3</v>
      </c>
      <c r="O78" s="5">
        <f t="shared" si="13"/>
        <v>0</v>
      </c>
      <c r="P78" s="5" t="str">
        <f t="shared" si="14"/>
        <v>D</v>
      </c>
      <c r="Q78" s="5">
        <f t="shared" si="15"/>
        <v>-68.3</v>
      </c>
      <c r="X78" s="26"/>
    </row>
    <row r="79" spans="1:24" ht="17.25" customHeight="1" x14ac:dyDescent="0.25">
      <c r="A79" s="5">
        <f t="shared" si="9"/>
        <v>29.810000000000002</v>
      </c>
      <c r="B79" s="5" t="str">
        <f t="shared" ref="B79:B142" si="16">_xlfn.IFS(A79&gt;=5,"V",A79&lt;=-5,"D",A79&lt;=-4.99,"E",A79&lt;=4.99,"E")</f>
        <v>V</v>
      </c>
      <c r="C79" s="5">
        <f t="shared" si="10"/>
        <v>93.75</v>
      </c>
      <c r="D79" s="5">
        <f t="shared" si="11"/>
        <v>63.94</v>
      </c>
      <c r="E79" s="4"/>
      <c r="F79" s="45" t="s">
        <v>96</v>
      </c>
      <c r="G79" s="2" t="s">
        <v>86</v>
      </c>
      <c r="H79" s="75">
        <v>93.75</v>
      </c>
      <c r="I79" s="2" t="s">
        <v>52</v>
      </c>
      <c r="J79" s="89">
        <v>63.94</v>
      </c>
      <c r="K79" s="2" t="s">
        <v>84</v>
      </c>
      <c r="L79" s="45" t="s">
        <v>100</v>
      </c>
      <c r="M79" s="4"/>
      <c r="N79" s="5">
        <f t="shared" si="12"/>
        <v>93.75</v>
      </c>
      <c r="O79" s="5">
        <f t="shared" si="13"/>
        <v>63.94</v>
      </c>
      <c r="P79" s="5" t="str">
        <f t="shared" si="14"/>
        <v>D</v>
      </c>
      <c r="Q79" s="5">
        <f t="shared" si="15"/>
        <v>-29.810000000000002</v>
      </c>
      <c r="X79" s="27"/>
    </row>
    <row r="80" spans="1:24" ht="17.25" customHeight="1" x14ac:dyDescent="0.25">
      <c r="A80" s="5">
        <f t="shared" si="9"/>
        <v>9.3499999999999943</v>
      </c>
      <c r="B80" s="5" t="str">
        <f t="shared" si="16"/>
        <v>V</v>
      </c>
      <c r="C80" s="5">
        <f t="shared" si="10"/>
        <v>100.55</v>
      </c>
      <c r="D80" s="5">
        <f t="shared" si="11"/>
        <v>91.2</v>
      </c>
      <c r="E80" s="4"/>
      <c r="F80" s="45" t="s">
        <v>101</v>
      </c>
      <c r="G80" s="2" t="s">
        <v>61</v>
      </c>
      <c r="H80" s="75">
        <v>100.55</v>
      </c>
      <c r="I80" s="2" t="s">
        <v>52</v>
      </c>
      <c r="J80" s="89">
        <v>91.2</v>
      </c>
      <c r="K80" s="2" t="s">
        <v>87</v>
      </c>
      <c r="L80" s="45" t="s">
        <v>97</v>
      </c>
      <c r="M80" s="4"/>
      <c r="N80" s="5">
        <f t="shared" si="12"/>
        <v>100.55</v>
      </c>
      <c r="O80" s="5">
        <f t="shared" si="13"/>
        <v>91.2</v>
      </c>
      <c r="P80" s="5" t="str">
        <f t="shared" si="14"/>
        <v>D</v>
      </c>
      <c r="Q80" s="5">
        <f t="shared" si="15"/>
        <v>-9.3499999999999943</v>
      </c>
      <c r="X80" s="26"/>
    </row>
    <row r="81" spans="1:34" ht="17.25" customHeight="1" x14ac:dyDescent="0.25">
      <c r="A81" s="5">
        <f t="shared" si="9"/>
        <v>-59.12</v>
      </c>
      <c r="B81" s="5" t="str">
        <f t="shared" si="16"/>
        <v>D</v>
      </c>
      <c r="C81" s="5">
        <f t="shared" si="10"/>
        <v>0</v>
      </c>
      <c r="D81" s="5">
        <f t="shared" si="11"/>
        <v>59.12</v>
      </c>
      <c r="E81" s="4"/>
      <c r="F81" s="45" t="s">
        <v>99</v>
      </c>
      <c r="G81" s="2" t="s">
        <v>60</v>
      </c>
      <c r="H81" s="89">
        <v>0</v>
      </c>
      <c r="I81" s="2" t="s">
        <v>52</v>
      </c>
      <c r="J81" s="75">
        <v>59.12</v>
      </c>
      <c r="K81" s="2" t="s">
        <v>80</v>
      </c>
      <c r="L81" s="45" t="s">
        <v>105</v>
      </c>
      <c r="M81" s="4"/>
      <c r="N81" s="5">
        <f t="shared" si="12"/>
        <v>0</v>
      </c>
      <c r="O81" s="5">
        <f t="shared" si="13"/>
        <v>59.12</v>
      </c>
      <c r="P81" s="5" t="str">
        <f t="shared" si="14"/>
        <v>V</v>
      </c>
      <c r="Q81" s="5">
        <f t="shared" si="15"/>
        <v>59.12</v>
      </c>
      <c r="X81" s="26"/>
    </row>
    <row r="82" spans="1:34" ht="17.25" customHeight="1" x14ac:dyDescent="0.25">
      <c r="A82" s="5">
        <f t="shared" si="9"/>
        <v>-4.5400000000000063</v>
      </c>
      <c r="B82" s="5" t="str">
        <f t="shared" si="16"/>
        <v>E</v>
      </c>
      <c r="C82" s="5">
        <f t="shared" si="10"/>
        <v>70.709999999999994</v>
      </c>
      <c r="D82" s="5">
        <f t="shared" si="11"/>
        <v>75.25</v>
      </c>
      <c r="E82" s="4"/>
      <c r="F82" s="45" t="s">
        <v>104</v>
      </c>
      <c r="G82" s="2" t="s">
        <v>75</v>
      </c>
      <c r="H82" s="76">
        <v>70.709999999999994</v>
      </c>
      <c r="I82" s="2" t="s">
        <v>52</v>
      </c>
      <c r="J82" s="76">
        <v>75.25</v>
      </c>
      <c r="K82" s="2" t="s">
        <v>62</v>
      </c>
      <c r="L82" s="45" t="s">
        <v>63</v>
      </c>
      <c r="M82" s="4"/>
      <c r="N82" s="5">
        <f t="shared" si="12"/>
        <v>70.709999999999994</v>
      </c>
      <c r="O82" s="5">
        <f t="shared" si="13"/>
        <v>75.25</v>
      </c>
      <c r="P82" s="5" t="str">
        <f t="shared" si="14"/>
        <v>E</v>
      </c>
      <c r="Q82" s="5">
        <f t="shared" si="15"/>
        <v>4.5400000000000063</v>
      </c>
      <c r="X82" s="26"/>
    </row>
    <row r="83" spans="1:34" ht="17.25" customHeight="1" x14ac:dyDescent="0.25">
      <c r="A83" s="5">
        <f t="shared" si="9"/>
        <v>37.220000000000006</v>
      </c>
      <c r="B83" s="5" t="str">
        <f t="shared" si="16"/>
        <v>V</v>
      </c>
      <c r="C83" s="5">
        <f t="shared" si="10"/>
        <v>100.95</v>
      </c>
      <c r="D83" s="5">
        <f t="shared" si="11"/>
        <v>63.73</v>
      </c>
      <c r="E83" s="4"/>
      <c r="F83" s="45" t="s">
        <v>95</v>
      </c>
      <c r="G83" s="2" t="s">
        <v>79</v>
      </c>
      <c r="H83" s="75">
        <v>100.95</v>
      </c>
      <c r="I83" s="2" t="s">
        <v>52</v>
      </c>
      <c r="J83" s="89">
        <v>63.73</v>
      </c>
      <c r="K83" s="2" t="s">
        <v>71</v>
      </c>
      <c r="L83" s="45" t="s">
        <v>72</v>
      </c>
      <c r="M83" s="4"/>
      <c r="N83" s="5">
        <f t="shared" si="12"/>
        <v>100.95</v>
      </c>
      <c r="O83" s="5">
        <f t="shared" si="13"/>
        <v>63.73</v>
      </c>
      <c r="P83" s="5" t="str">
        <f t="shared" si="14"/>
        <v>D</v>
      </c>
      <c r="Q83" s="5">
        <f t="shared" si="15"/>
        <v>-37.220000000000006</v>
      </c>
      <c r="X83" s="26"/>
    </row>
    <row r="84" spans="1:34" ht="17.25" customHeight="1" x14ac:dyDescent="0.25">
      <c r="A84" s="5">
        <f t="shared" si="9"/>
        <v>42.309999999999995</v>
      </c>
      <c r="B84" s="5" t="str">
        <f t="shared" si="16"/>
        <v>V</v>
      </c>
      <c r="C84" s="5">
        <f t="shared" si="10"/>
        <v>87.6</v>
      </c>
      <c r="D84" s="5">
        <f t="shared" si="11"/>
        <v>45.29</v>
      </c>
      <c r="E84" s="4"/>
      <c r="F84" s="45" t="s">
        <v>93</v>
      </c>
      <c r="G84" s="2" t="s">
        <v>76</v>
      </c>
      <c r="H84" s="75">
        <v>87.6</v>
      </c>
      <c r="I84" s="2" t="s">
        <v>52</v>
      </c>
      <c r="J84" s="89">
        <v>45.29</v>
      </c>
      <c r="K84" s="2" t="s">
        <v>64</v>
      </c>
      <c r="L84" s="45" t="s">
        <v>67</v>
      </c>
      <c r="M84" s="4"/>
      <c r="N84" s="5">
        <f t="shared" si="12"/>
        <v>87.6</v>
      </c>
      <c r="O84" s="5">
        <f t="shared" si="13"/>
        <v>45.29</v>
      </c>
      <c r="P84" s="5" t="str">
        <f t="shared" si="14"/>
        <v>D</v>
      </c>
      <c r="Q84" s="5">
        <f t="shared" si="15"/>
        <v>-42.309999999999995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25.880000000000003</v>
      </c>
      <c r="B87" s="5" t="str">
        <f t="shared" si="16"/>
        <v>V</v>
      </c>
      <c r="C87" s="5">
        <f t="shared" si="10"/>
        <v>76.17</v>
      </c>
      <c r="D87" s="5">
        <f t="shared" si="11"/>
        <v>50.29</v>
      </c>
      <c r="E87" s="4"/>
      <c r="F87" s="45" t="s">
        <v>105</v>
      </c>
      <c r="G87" s="2" t="s">
        <v>80</v>
      </c>
      <c r="H87" s="75">
        <v>76.17</v>
      </c>
      <c r="I87" s="2" t="s">
        <v>52</v>
      </c>
      <c r="J87" s="89">
        <v>50.29</v>
      </c>
      <c r="K87" s="2" t="s">
        <v>71</v>
      </c>
      <c r="L87" s="45" t="s">
        <v>72</v>
      </c>
      <c r="M87" s="4"/>
      <c r="N87" s="5">
        <f t="shared" si="12"/>
        <v>76.17</v>
      </c>
      <c r="O87" s="5">
        <f t="shared" si="13"/>
        <v>50.29</v>
      </c>
      <c r="P87" s="5" t="str">
        <f t="shared" si="14"/>
        <v>D</v>
      </c>
      <c r="Q87" s="5">
        <f t="shared" si="15"/>
        <v>-25.880000000000003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-37.25</v>
      </c>
      <c r="B88" s="5" t="str">
        <f t="shared" si="16"/>
        <v>D</v>
      </c>
      <c r="C88" s="5">
        <f t="shared" si="10"/>
        <v>69.89</v>
      </c>
      <c r="D88" s="5">
        <f t="shared" si="11"/>
        <v>107.14</v>
      </c>
      <c r="E88" s="4"/>
      <c r="F88" s="45" t="s">
        <v>94</v>
      </c>
      <c r="G88" s="2" t="s">
        <v>77</v>
      </c>
      <c r="H88" s="89">
        <v>69.89</v>
      </c>
      <c r="I88" s="2" t="s">
        <v>52</v>
      </c>
      <c r="J88" s="75">
        <v>107.14</v>
      </c>
      <c r="K88" s="2" t="s">
        <v>75</v>
      </c>
      <c r="L88" s="45" t="s">
        <v>104</v>
      </c>
      <c r="M88" s="4"/>
      <c r="N88" s="5">
        <f t="shared" si="12"/>
        <v>69.89</v>
      </c>
      <c r="O88" s="5">
        <f t="shared" si="13"/>
        <v>107.14</v>
      </c>
      <c r="P88" s="5" t="str">
        <f t="shared" si="14"/>
        <v>V</v>
      </c>
      <c r="Q88" s="5">
        <f t="shared" si="15"/>
        <v>37.25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14.990000000000002</v>
      </c>
      <c r="B89" s="5" t="str">
        <f t="shared" si="16"/>
        <v>V</v>
      </c>
      <c r="C89" s="5">
        <f t="shared" si="10"/>
        <v>77.34</v>
      </c>
      <c r="D89" s="5">
        <f t="shared" si="11"/>
        <v>62.35</v>
      </c>
      <c r="E89" s="4"/>
      <c r="F89" s="45" t="s">
        <v>100</v>
      </c>
      <c r="G89" s="2" t="s">
        <v>84</v>
      </c>
      <c r="H89" s="75">
        <v>77.34</v>
      </c>
      <c r="I89" s="2" t="s">
        <v>52</v>
      </c>
      <c r="J89" s="89">
        <v>62.35</v>
      </c>
      <c r="K89" s="2" t="s">
        <v>74</v>
      </c>
      <c r="L89" s="45" t="s">
        <v>92</v>
      </c>
      <c r="M89" s="4"/>
      <c r="N89" s="5">
        <f t="shared" si="12"/>
        <v>77.34</v>
      </c>
      <c r="O89" s="5">
        <f t="shared" si="13"/>
        <v>62.35</v>
      </c>
      <c r="P89" s="5" t="str">
        <f t="shared" si="14"/>
        <v>D</v>
      </c>
      <c r="Q89" s="5">
        <f t="shared" si="15"/>
        <v>-14.990000000000002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21.5</v>
      </c>
      <c r="B90" s="5" t="str">
        <f t="shared" si="16"/>
        <v>V</v>
      </c>
      <c r="C90" s="5">
        <f t="shared" si="10"/>
        <v>78.09</v>
      </c>
      <c r="D90" s="5">
        <f t="shared" si="11"/>
        <v>56.59</v>
      </c>
      <c r="E90" s="4"/>
      <c r="F90" s="45" t="s">
        <v>63</v>
      </c>
      <c r="G90" s="2" t="s">
        <v>62</v>
      </c>
      <c r="H90" s="75">
        <v>78.09</v>
      </c>
      <c r="I90" s="2" t="s">
        <v>52</v>
      </c>
      <c r="J90" s="89">
        <v>56.59</v>
      </c>
      <c r="K90" s="2" t="s">
        <v>81</v>
      </c>
      <c r="L90" s="45" t="s">
        <v>102</v>
      </c>
      <c r="M90" s="4"/>
      <c r="N90" s="5">
        <f t="shared" si="12"/>
        <v>78.09</v>
      </c>
      <c r="O90" s="5">
        <f t="shared" si="13"/>
        <v>56.59</v>
      </c>
      <c r="P90" s="5" t="str">
        <f t="shared" si="14"/>
        <v>D</v>
      </c>
      <c r="Q90" s="5">
        <f t="shared" si="15"/>
        <v>-21.5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-1.8999999999999915</v>
      </c>
      <c r="B91" s="5" t="str">
        <f t="shared" si="16"/>
        <v>E</v>
      </c>
      <c r="C91" s="5">
        <f t="shared" si="10"/>
        <v>75.34</v>
      </c>
      <c r="D91" s="5">
        <f t="shared" si="11"/>
        <v>77.239999999999995</v>
      </c>
      <c r="E91" s="4"/>
      <c r="F91" s="45" t="s">
        <v>67</v>
      </c>
      <c r="G91" s="2" t="s">
        <v>64</v>
      </c>
      <c r="H91" s="76">
        <v>75.34</v>
      </c>
      <c r="I91" s="2" t="s">
        <v>52</v>
      </c>
      <c r="J91" s="76">
        <v>77.239999999999995</v>
      </c>
      <c r="K91" s="2" t="s">
        <v>82</v>
      </c>
      <c r="L91" s="45" t="s">
        <v>103</v>
      </c>
      <c r="M91" s="4"/>
      <c r="N91" s="5">
        <f t="shared" si="12"/>
        <v>75.34</v>
      </c>
      <c r="O91" s="5">
        <f t="shared" si="13"/>
        <v>77.239999999999995</v>
      </c>
      <c r="P91" s="5" t="str">
        <f t="shared" si="14"/>
        <v>E</v>
      </c>
      <c r="Q91" s="5">
        <f t="shared" si="15"/>
        <v>1.8999999999999915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4.3400000000000034</v>
      </c>
      <c r="B92" s="5" t="str">
        <f t="shared" si="16"/>
        <v>E</v>
      </c>
      <c r="C92" s="5">
        <f t="shared" si="10"/>
        <v>60.34</v>
      </c>
      <c r="D92" s="5">
        <f t="shared" si="11"/>
        <v>56</v>
      </c>
      <c r="E92" s="4"/>
      <c r="F92" s="45" t="s">
        <v>70</v>
      </c>
      <c r="G92" s="2" t="s">
        <v>106</v>
      </c>
      <c r="H92" s="76">
        <v>60.34</v>
      </c>
      <c r="I92" s="2" t="s">
        <v>52</v>
      </c>
      <c r="J92" s="76">
        <v>56</v>
      </c>
      <c r="K92" s="2" t="s">
        <v>60</v>
      </c>
      <c r="L92" s="45" t="s">
        <v>99</v>
      </c>
      <c r="M92" s="4"/>
      <c r="N92" s="5">
        <f t="shared" si="12"/>
        <v>60.34</v>
      </c>
      <c r="O92" s="5">
        <f t="shared" si="13"/>
        <v>56</v>
      </c>
      <c r="P92" s="5" t="str">
        <f t="shared" si="14"/>
        <v>E</v>
      </c>
      <c r="Q92" s="5">
        <f t="shared" si="15"/>
        <v>-4.3400000000000034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3.1400000000000006</v>
      </c>
      <c r="B93" s="5" t="str">
        <f t="shared" si="16"/>
        <v>E</v>
      </c>
      <c r="C93" s="5">
        <f t="shared" si="10"/>
        <v>69.040000000000006</v>
      </c>
      <c r="D93" s="5">
        <f t="shared" si="11"/>
        <v>65.900000000000006</v>
      </c>
      <c r="E93" s="4"/>
      <c r="F93" s="45" t="s">
        <v>97</v>
      </c>
      <c r="G93" s="2" t="s">
        <v>87</v>
      </c>
      <c r="H93" s="76">
        <v>69.040000000000006</v>
      </c>
      <c r="I93" s="2" t="s">
        <v>52</v>
      </c>
      <c r="J93" s="76">
        <v>65.900000000000006</v>
      </c>
      <c r="K93" s="2" t="s">
        <v>76</v>
      </c>
      <c r="L93" s="45" t="s">
        <v>93</v>
      </c>
      <c r="M93" s="4"/>
      <c r="N93" s="5">
        <f t="shared" si="12"/>
        <v>69.040000000000006</v>
      </c>
      <c r="O93" s="5">
        <f t="shared" si="13"/>
        <v>65.900000000000006</v>
      </c>
      <c r="P93" s="5" t="str">
        <f t="shared" si="14"/>
        <v>E</v>
      </c>
      <c r="Q93" s="5">
        <f t="shared" si="15"/>
        <v>-3.1400000000000006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11.749999999999993</v>
      </c>
      <c r="B94" s="5" t="str">
        <f t="shared" si="16"/>
        <v>V</v>
      </c>
      <c r="C94" s="5">
        <f t="shared" si="10"/>
        <v>64.239999999999995</v>
      </c>
      <c r="D94" s="5">
        <f t="shared" si="11"/>
        <v>52.49</v>
      </c>
      <c r="E94" s="4"/>
      <c r="F94" s="45" t="s">
        <v>98</v>
      </c>
      <c r="G94" s="2" t="s">
        <v>88</v>
      </c>
      <c r="H94" s="75">
        <v>64.239999999999995</v>
      </c>
      <c r="I94" s="2" t="s">
        <v>52</v>
      </c>
      <c r="J94" s="89">
        <v>52.49</v>
      </c>
      <c r="K94" s="2" t="s">
        <v>86</v>
      </c>
      <c r="L94" s="45" t="s">
        <v>96</v>
      </c>
      <c r="M94" s="4"/>
      <c r="N94" s="5">
        <f t="shared" si="12"/>
        <v>64.239999999999995</v>
      </c>
      <c r="O94" s="5">
        <f t="shared" si="13"/>
        <v>52.49</v>
      </c>
      <c r="P94" s="5" t="str">
        <f t="shared" si="14"/>
        <v>D</v>
      </c>
      <c r="Q94" s="5">
        <f t="shared" si="15"/>
        <v>-11.749999999999993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2</v>
      </c>
      <c r="B95" s="5" t="str">
        <f t="shared" si="16"/>
        <v>E</v>
      </c>
      <c r="C95" s="5">
        <f t="shared" si="10"/>
        <v>87.51</v>
      </c>
      <c r="D95" s="5">
        <f t="shared" si="11"/>
        <v>85.51</v>
      </c>
      <c r="E95" s="4"/>
      <c r="F95" s="45" t="s">
        <v>95</v>
      </c>
      <c r="G95" s="2" t="s">
        <v>79</v>
      </c>
      <c r="H95" s="76">
        <v>87.51</v>
      </c>
      <c r="I95" s="2" t="s">
        <v>52</v>
      </c>
      <c r="J95" s="76">
        <v>85.51</v>
      </c>
      <c r="K95" s="2" t="s">
        <v>69</v>
      </c>
      <c r="L95" s="45" t="s">
        <v>68</v>
      </c>
      <c r="M95" s="4"/>
      <c r="N95" s="5">
        <f t="shared" si="12"/>
        <v>87.51</v>
      </c>
      <c r="O95" s="5">
        <f t="shared" si="13"/>
        <v>85.51</v>
      </c>
      <c r="P95" s="5" t="str">
        <f t="shared" si="14"/>
        <v>E</v>
      </c>
      <c r="Q95" s="5">
        <f t="shared" si="15"/>
        <v>-2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-0.65999999999999659</v>
      </c>
      <c r="B96" s="5" t="str">
        <f t="shared" si="16"/>
        <v>E</v>
      </c>
      <c r="C96" s="5">
        <f t="shared" si="10"/>
        <v>73.75</v>
      </c>
      <c r="D96" s="5">
        <f t="shared" si="11"/>
        <v>74.41</v>
      </c>
      <c r="E96" s="4"/>
      <c r="F96" s="45" t="s">
        <v>65</v>
      </c>
      <c r="G96" s="2" t="s">
        <v>66</v>
      </c>
      <c r="H96" s="76">
        <v>73.75</v>
      </c>
      <c r="I96" s="2" t="s">
        <v>52</v>
      </c>
      <c r="J96" s="76">
        <v>74.41</v>
      </c>
      <c r="K96" s="2" t="s">
        <v>61</v>
      </c>
      <c r="L96" s="45" t="s">
        <v>101</v>
      </c>
      <c r="M96" s="4"/>
      <c r="N96" s="5">
        <f t="shared" si="12"/>
        <v>73.75</v>
      </c>
      <c r="O96" s="5">
        <f t="shared" si="13"/>
        <v>74.41</v>
      </c>
      <c r="P96" s="5" t="str">
        <f t="shared" si="14"/>
        <v>E</v>
      </c>
      <c r="Q96" s="5">
        <f t="shared" si="15"/>
        <v>0.65999999999999659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0</v>
      </c>
      <c r="B99" s="5" t="str">
        <f t="shared" si="16"/>
        <v>E</v>
      </c>
      <c r="C99" s="5">
        <f t="shared" si="10"/>
        <v>0</v>
      </c>
      <c r="D99" s="5">
        <f t="shared" si="11"/>
        <v>0</v>
      </c>
      <c r="E99" s="4"/>
      <c r="F99" s="45" t="s">
        <v>92</v>
      </c>
      <c r="G99" s="2" t="s">
        <v>74</v>
      </c>
      <c r="H99" s="1"/>
      <c r="I99" s="1" t="s">
        <v>52</v>
      </c>
      <c r="J99" s="1"/>
      <c r="K99" s="2" t="s">
        <v>80</v>
      </c>
      <c r="L99" s="45" t="s">
        <v>105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0</v>
      </c>
      <c r="B100" s="5" t="str">
        <f t="shared" si="16"/>
        <v>E</v>
      </c>
      <c r="C100" s="5">
        <f t="shared" si="10"/>
        <v>0</v>
      </c>
      <c r="D100" s="5">
        <f t="shared" si="11"/>
        <v>0</v>
      </c>
      <c r="E100" s="4"/>
      <c r="F100" s="45" t="s">
        <v>94</v>
      </c>
      <c r="G100" s="2" t="s">
        <v>77</v>
      </c>
      <c r="H100" s="1"/>
      <c r="I100" s="1" t="s">
        <v>52</v>
      </c>
      <c r="J100" s="1"/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0</v>
      </c>
      <c r="B101" s="5" t="str">
        <f t="shared" si="16"/>
        <v>E</v>
      </c>
      <c r="C101" s="5">
        <f t="shared" si="10"/>
        <v>0</v>
      </c>
      <c r="D101" s="5">
        <f t="shared" si="11"/>
        <v>0</v>
      </c>
      <c r="E101" s="4"/>
      <c r="F101" s="45" t="s">
        <v>100</v>
      </c>
      <c r="G101" s="2" t="s">
        <v>84</v>
      </c>
      <c r="H101" s="1"/>
      <c r="I101" s="1" t="s">
        <v>52</v>
      </c>
      <c r="J101" s="1"/>
      <c r="K101" s="2" t="s">
        <v>62</v>
      </c>
      <c r="L101" s="45" t="s">
        <v>63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0</v>
      </c>
      <c r="B102" s="5" t="str">
        <f t="shared" si="16"/>
        <v>E</v>
      </c>
      <c r="C102" s="5">
        <f t="shared" si="10"/>
        <v>0</v>
      </c>
      <c r="D102" s="5">
        <f t="shared" si="11"/>
        <v>0</v>
      </c>
      <c r="E102" s="4"/>
      <c r="F102" s="45" t="s">
        <v>68</v>
      </c>
      <c r="G102" s="2" t="s">
        <v>69</v>
      </c>
      <c r="H102" s="1"/>
      <c r="I102" s="1" t="s">
        <v>52</v>
      </c>
      <c r="J102" s="1"/>
      <c r="K102" s="2" t="s">
        <v>86</v>
      </c>
      <c r="L102" s="45" t="s">
        <v>96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0</v>
      </c>
      <c r="B103" s="5" t="str">
        <f t="shared" si="16"/>
        <v>E</v>
      </c>
      <c r="C103" s="5">
        <f t="shared" si="10"/>
        <v>0</v>
      </c>
      <c r="D103" s="5">
        <f t="shared" si="11"/>
        <v>0</v>
      </c>
      <c r="E103" s="4"/>
      <c r="F103" s="45" t="s">
        <v>67</v>
      </c>
      <c r="G103" s="2" t="s">
        <v>64</v>
      </c>
      <c r="H103" s="1"/>
      <c r="I103" s="1" t="s">
        <v>52</v>
      </c>
      <c r="J103" s="1"/>
      <c r="K103" s="2" t="s">
        <v>81</v>
      </c>
      <c r="L103" s="45" t="s">
        <v>102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0</v>
      </c>
      <c r="B104" s="5" t="str">
        <f t="shared" si="16"/>
        <v>E</v>
      </c>
      <c r="C104" s="5">
        <f t="shared" si="10"/>
        <v>0</v>
      </c>
      <c r="D104" s="5">
        <f t="shared" si="11"/>
        <v>0</v>
      </c>
      <c r="E104" s="4"/>
      <c r="F104" s="45" t="s">
        <v>70</v>
      </c>
      <c r="G104" s="2" t="s">
        <v>106</v>
      </c>
      <c r="H104" s="1"/>
      <c r="I104" s="1" t="s">
        <v>52</v>
      </c>
      <c r="J104" s="1"/>
      <c r="K104" s="2" t="s">
        <v>79</v>
      </c>
      <c r="L104" s="45" t="s">
        <v>95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0</v>
      </c>
      <c r="B105" s="5" t="str">
        <f t="shared" si="16"/>
        <v>E</v>
      </c>
      <c r="C105" s="5">
        <f t="shared" si="10"/>
        <v>0</v>
      </c>
      <c r="D105" s="5">
        <f t="shared" si="11"/>
        <v>0</v>
      </c>
      <c r="E105" s="4"/>
      <c r="F105" s="45" t="s">
        <v>99</v>
      </c>
      <c r="G105" s="2" t="s">
        <v>60</v>
      </c>
      <c r="H105" s="1"/>
      <c r="I105" s="1" t="s">
        <v>52</v>
      </c>
      <c r="J105" s="1"/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0</v>
      </c>
      <c r="B106" s="5" t="str">
        <f t="shared" si="16"/>
        <v>E</v>
      </c>
      <c r="C106" s="5">
        <f t="shared" si="10"/>
        <v>0</v>
      </c>
      <c r="D106" s="5">
        <f t="shared" si="11"/>
        <v>0</v>
      </c>
      <c r="E106" s="4"/>
      <c r="F106" s="45" t="s">
        <v>104</v>
      </c>
      <c r="G106" s="2" t="s">
        <v>75</v>
      </c>
      <c r="H106" s="1"/>
      <c r="I106" s="1" t="s">
        <v>52</v>
      </c>
      <c r="J106" s="1"/>
      <c r="K106" s="2" t="s">
        <v>82</v>
      </c>
      <c r="L106" s="45" t="s">
        <v>103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34" ht="17.25" customHeight="1" x14ac:dyDescent="0.25">
      <c r="A107" s="5">
        <f t="shared" si="9"/>
        <v>0</v>
      </c>
      <c r="B107" s="5" t="str">
        <f t="shared" si="16"/>
        <v>E</v>
      </c>
      <c r="C107" s="5">
        <f t="shared" si="10"/>
        <v>0</v>
      </c>
      <c r="D107" s="5">
        <f t="shared" si="11"/>
        <v>0</v>
      </c>
      <c r="E107" s="4"/>
      <c r="F107" s="45" t="s">
        <v>72</v>
      </c>
      <c r="G107" s="2" t="s">
        <v>71</v>
      </c>
      <c r="H107" s="1"/>
      <c r="I107" s="1" t="s">
        <v>52</v>
      </c>
      <c r="J107" s="1"/>
      <c r="K107" s="2" t="s">
        <v>87</v>
      </c>
      <c r="L107" s="45" t="s">
        <v>97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34" ht="17.25" customHeight="1" x14ac:dyDescent="0.25">
      <c r="A108" s="5">
        <f t="shared" si="9"/>
        <v>0</v>
      </c>
      <c r="B108" s="5" t="str">
        <f t="shared" si="16"/>
        <v>E</v>
      </c>
      <c r="C108" s="5">
        <f t="shared" si="10"/>
        <v>0</v>
      </c>
      <c r="D108" s="5">
        <f t="shared" si="11"/>
        <v>0</v>
      </c>
      <c r="E108" s="4"/>
      <c r="F108" s="45" t="s">
        <v>93</v>
      </c>
      <c r="G108" s="2" t="s">
        <v>76</v>
      </c>
      <c r="H108" s="1"/>
      <c r="I108" s="1" t="s">
        <v>52</v>
      </c>
      <c r="J108" s="1"/>
      <c r="K108" s="2" t="s">
        <v>88</v>
      </c>
      <c r="L108" s="45" t="s">
        <v>98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0</v>
      </c>
      <c r="B111" s="5" t="str">
        <f t="shared" si="16"/>
        <v>E</v>
      </c>
      <c r="C111" s="5">
        <f t="shared" si="10"/>
        <v>0</v>
      </c>
      <c r="D111" s="5">
        <f t="shared" si="11"/>
        <v>0</v>
      </c>
      <c r="E111" s="4"/>
      <c r="F111" s="45" t="s">
        <v>92</v>
      </c>
      <c r="G111" s="2" t="s">
        <v>74</v>
      </c>
      <c r="H111" s="1"/>
      <c r="I111" s="1" t="s">
        <v>52</v>
      </c>
      <c r="J111" s="1"/>
      <c r="K111" s="2" t="s">
        <v>64</v>
      </c>
      <c r="L111" s="45" t="s">
        <v>67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34" ht="17.25" customHeight="1" x14ac:dyDescent="0.25">
      <c r="A112" s="5">
        <f t="shared" si="9"/>
        <v>0</v>
      </c>
      <c r="B112" s="5" t="str">
        <f t="shared" si="16"/>
        <v>E</v>
      </c>
      <c r="C112" s="5">
        <f t="shared" si="10"/>
        <v>0</v>
      </c>
      <c r="D112" s="5">
        <f t="shared" si="11"/>
        <v>0</v>
      </c>
      <c r="E112" s="4"/>
      <c r="F112" s="45" t="s">
        <v>103</v>
      </c>
      <c r="G112" s="2" t="s">
        <v>82</v>
      </c>
      <c r="H112" s="1"/>
      <c r="I112" s="1" t="s">
        <v>52</v>
      </c>
      <c r="J112" s="1"/>
      <c r="K112" s="2" t="s">
        <v>77</v>
      </c>
      <c r="L112" s="45" t="s">
        <v>94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9"/>
        <v>0</v>
      </c>
      <c r="B113" s="5" t="str">
        <f t="shared" si="16"/>
        <v>E</v>
      </c>
      <c r="C113" s="5">
        <f t="shared" si="10"/>
        <v>0</v>
      </c>
      <c r="D113" s="5">
        <f t="shared" si="11"/>
        <v>0</v>
      </c>
      <c r="E113" s="4"/>
      <c r="F113" s="45" t="s">
        <v>102</v>
      </c>
      <c r="G113" s="2" t="s">
        <v>81</v>
      </c>
      <c r="H113" s="1"/>
      <c r="I113" s="1" t="s">
        <v>52</v>
      </c>
      <c r="J113" s="1"/>
      <c r="K113" s="2" t="s">
        <v>87</v>
      </c>
      <c r="L113" s="45" t="s">
        <v>97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9"/>
        <v>0</v>
      </c>
      <c r="B114" s="5" t="str">
        <f t="shared" si="16"/>
        <v>E</v>
      </c>
      <c r="C114" s="5">
        <f t="shared" si="10"/>
        <v>0</v>
      </c>
      <c r="D114" s="5">
        <f t="shared" si="11"/>
        <v>0</v>
      </c>
      <c r="E114" s="4"/>
      <c r="F114" s="45" t="s">
        <v>68</v>
      </c>
      <c r="G114" s="2" t="s">
        <v>69</v>
      </c>
      <c r="H114" s="1"/>
      <c r="I114" s="1" t="s">
        <v>52</v>
      </c>
      <c r="J114" s="1"/>
      <c r="K114" s="2" t="s">
        <v>84</v>
      </c>
      <c r="L114" s="45" t="s">
        <v>100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9"/>
        <v>0</v>
      </c>
      <c r="B115" s="5" t="str">
        <f t="shared" si="16"/>
        <v>E</v>
      </c>
      <c r="C115" s="5">
        <f t="shared" si="10"/>
        <v>0</v>
      </c>
      <c r="D115" s="5">
        <f t="shared" si="11"/>
        <v>0</v>
      </c>
      <c r="E115" s="4"/>
      <c r="F115" s="45" t="s">
        <v>96</v>
      </c>
      <c r="G115" s="2" t="s">
        <v>86</v>
      </c>
      <c r="H115" s="1"/>
      <c r="I115" s="1" t="s">
        <v>52</v>
      </c>
      <c r="J115" s="1"/>
      <c r="K115" s="2" t="s">
        <v>62</v>
      </c>
      <c r="L115" s="45" t="s">
        <v>63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9"/>
        <v>0</v>
      </c>
      <c r="B116" s="5" t="str">
        <f t="shared" si="16"/>
        <v>E</v>
      </c>
      <c r="C116" s="5">
        <f t="shared" si="10"/>
        <v>0</v>
      </c>
      <c r="D116" s="5">
        <f t="shared" si="11"/>
        <v>0</v>
      </c>
      <c r="E116" s="4"/>
      <c r="F116" s="45" t="s">
        <v>101</v>
      </c>
      <c r="G116" s="2" t="s">
        <v>61</v>
      </c>
      <c r="H116" s="1"/>
      <c r="I116" s="1" t="s">
        <v>52</v>
      </c>
      <c r="J116" s="1"/>
      <c r="K116" s="2" t="s">
        <v>71</v>
      </c>
      <c r="L116" s="45" t="s">
        <v>72</v>
      </c>
      <c r="M116" s="4"/>
      <c r="N116" s="5">
        <f t="shared" si="12"/>
        <v>0</v>
      </c>
      <c r="O116" s="5">
        <f t="shared" si="13"/>
        <v>0</v>
      </c>
      <c r="P116" s="5" t="str">
        <f>_xlfn.IFS(Q116&gt;=5,"V",Q116&lt;=-5,"D",Q116&lt;=-4.99,"E",Q116&lt;=4.99,"E")</f>
        <v>E</v>
      </c>
      <c r="Q116" s="5">
        <f t="shared" si="15"/>
        <v>0</v>
      </c>
    </row>
    <row r="117" spans="1:17" ht="17.25" customHeight="1" x14ac:dyDescent="0.25">
      <c r="A117" s="5">
        <f t="shared" si="9"/>
        <v>0</v>
      </c>
      <c r="B117" s="5" t="str">
        <f t="shared" si="16"/>
        <v>E</v>
      </c>
      <c r="C117" s="5">
        <f t="shared" si="10"/>
        <v>0</v>
      </c>
      <c r="D117" s="5">
        <f t="shared" si="11"/>
        <v>0</v>
      </c>
      <c r="E117" s="4"/>
      <c r="F117" s="45" t="s">
        <v>99</v>
      </c>
      <c r="G117" s="2" t="s">
        <v>60</v>
      </c>
      <c r="H117" s="1"/>
      <c r="I117" s="1" t="s">
        <v>52</v>
      </c>
      <c r="J117" s="1"/>
      <c r="K117" s="2" t="s">
        <v>66</v>
      </c>
      <c r="L117" s="45" t="s">
        <v>65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9"/>
        <v>0</v>
      </c>
      <c r="B118" s="5" t="str">
        <f t="shared" si="16"/>
        <v>E</v>
      </c>
      <c r="C118" s="5">
        <f t="shared" si="10"/>
        <v>0</v>
      </c>
      <c r="D118" s="5">
        <f t="shared" si="11"/>
        <v>0</v>
      </c>
      <c r="E118" s="4"/>
      <c r="F118" s="45" t="s">
        <v>104</v>
      </c>
      <c r="G118" s="2" t="s">
        <v>75</v>
      </c>
      <c r="H118" s="1"/>
      <c r="I118" s="1" t="s">
        <v>52</v>
      </c>
      <c r="J118" s="1"/>
      <c r="K118" s="2" t="s">
        <v>88</v>
      </c>
      <c r="L118" s="45" t="s">
        <v>98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9"/>
        <v>0</v>
      </c>
      <c r="B119" s="5" t="str">
        <f t="shared" si="16"/>
        <v>E</v>
      </c>
      <c r="C119" s="5">
        <f t="shared" si="10"/>
        <v>0</v>
      </c>
      <c r="D119" s="5">
        <f t="shared" si="11"/>
        <v>0</v>
      </c>
      <c r="E119" s="4"/>
      <c r="F119" s="45" t="s">
        <v>95</v>
      </c>
      <c r="G119" s="2" t="s">
        <v>79</v>
      </c>
      <c r="H119" s="1"/>
      <c r="I119" s="1" t="s">
        <v>52</v>
      </c>
      <c r="J119" s="1"/>
      <c r="K119" s="2" t="s">
        <v>80</v>
      </c>
      <c r="L119" s="45" t="s">
        <v>105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9"/>
        <v>0</v>
      </c>
      <c r="B120" s="5" t="str">
        <f t="shared" si="16"/>
        <v>E</v>
      </c>
      <c r="C120" s="5">
        <f t="shared" si="10"/>
        <v>0</v>
      </c>
      <c r="D120" s="5">
        <f t="shared" si="11"/>
        <v>0</v>
      </c>
      <c r="E120" s="4"/>
      <c r="F120" s="45" t="s">
        <v>93</v>
      </c>
      <c r="G120" s="2" t="s">
        <v>76</v>
      </c>
      <c r="H120" s="1"/>
      <c r="I120" s="1" t="s">
        <v>52</v>
      </c>
      <c r="J120" s="1"/>
      <c r="K120" s="2" t="s">
        <v>106</v>
      </c>
      <c r="L120" s="45" t="s">
        <v>70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45" t="s">
        <v>105</v>
      </c>
      <c r="G123" s="2" t="s">
        <v>80</v>
      </c>
      <c r="H123" s="1"/>
      <c r="I123" s="1" t="s">
        <v>52</v>
      </c>
      <c r="J123" s="1"/>
      <c r="K123" s="2" t="s">
        <v>76</v>
      </c>
      <c r="L123" s="45" t="s">
        <v>93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45" t="s">
        <v>103</v>
      </c>
      <c r="G124" s="2" t="s">
        <v>82</v>
      </c>
      <c r="H124" s="1"/>
      <c r="I124" s="1" t="s">
        <v>52</v>
      </c>
      <c r="J124" s="1"/>
      <c r="K124" s="2" t="s">
        <v>69</v>
      </c>
      <c r="L124" s="45" t="s">
        <v>68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45" t="s">
        <v>100</v>
      </c>
      <c r="G125" s="2" t="s">
        <v>84</v>
      </c>
      <c r="H125" s="1"/>
      <c r="I125" s="1" t="s">
        <v>52</v>
      </c>
      <c r="J125" s="1"/>
      <c r="K125" s="2" t="s">
        <v>75</v>
      </c>
      <c r="L125" s="45" t="s">
        <v>104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45" t="s">
        <v>63</v>
      </c>
      <c r="G126" s="2" t="s">
        <v>62</v>
      </c>
      <c r="H126" s="1"/>
      <c r="I126" s="1" t="s">
        <v>52</v>
      </c>
      <c r="J126" s="1"/>
      <c r="K126" s="2" t="s">
        <v>79</v>
      </c>
      <c r="L126" s="45" t="s">
        <v>95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45" t="s">
        <v>67</v>
      </c>
      <c r="G127" s="2" t="s">
        <v>64</v>
      </c>
      <c r="H127" s="1"/>
      <c r="I127" s="1" t="s">
        <v>52</v>
      </c>
      <c r="J127" s="1"/>
      <c r="K127" s="2" t="s">
        <v>60</v>
      </c>
      <c r="L127" s="45" t="s">
        <v>99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45" t="s">
        <v>101</v>
      </c>
      <c r="G128" s="2" t="s">
        <v>61</v>
      </c>
      <c r="H128" s="1"/>
      <c r="I128" s="1" t="s">
        <v>52</v>
      </c>
      <c r="J128" s="1"/>
      <c r="K128" s="2" t="s">
        <v>81</v>
      </c>
      <c r="L128" s="45" t="s">
        <v>102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45" t="s">
        <v>97</v>
      </c>
      <c r="G129" s="2" t="s">
        <v>87</v>
      </c>
      <c r="H129" s="1"/>
      <c r="I129" s="1" t="s">
        <v>52</v>
      </c>
      <c r="J129" s="1"/>
      <c r="K129" s="2" t="s">
        <v>74</v>
      </c>
      <c r="L129" s="45" t="s">
        <v>92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45" t="s">
        <v>98</v>
      </c>
      <c r="G130" s="2" t="s">
        <v>88</v>
      </c>
      <c r="H130" s="1"/>
      <c r="I130" s="1" t="s">
        <v>52</v>
      </c>
      <c r="J130" s="1"/>
      <c r="K130" s="2" t="s">
        <v>77</v>
      </c>
      <c r="L130" s="45" t="s">
        <v>94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45" t="s">
        <v>72</v>
      </c>
      <c r="G131" s="2" t="s">
        <v>71</v>
      </c>
      <c r="H131" s="1"/>
      <c r="I131" s="1" t="s">
        <v>52</v>
      </c>
      <c r="J131" s="1"/>
      <c r="K131" s="2" t="s">
        <v>106</v>
      </c>
      <c r="L131" s="45" t="s">
        <v>70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45" t="s">
        <v>65</v>
      </c>
      <c r="G132" s="2" t="s">
        <v>66</v>
      </c>
      <c r="H132" s="1"/>
      <c r="I132" s="1" t="s">
        <v>52</v>
      </c>
      <c r="J132" s="1"/>
      <c r="K132" s="2" t="s">
        <v>86</v>
      </c>
      <c r="L132" s="45" t="s">
        <v>96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105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45" t="s">
        <v>70</v>
      </c>
      <c r="G140" s="2" t="s">
        <v>106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45" t="s">
        <v>104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76</v>
      </c>
      <c r="L143" s="45" t="s">
        <v>93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45" t="s">
        <v>105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104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106</v>
      </c>
      <c r="L152" s="45" t="s">
        <v>70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45" t="s">
        <v>93</v>
      </c>
      <c r="G156" s="2" t="s">
        <v>76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22</v>
      </c>
      <c r="Z239" s="15">
        <f t="shared" si="33"/>
        <v>8</v>
      </c>
      <c r="AA239" s="15">
        <f t="shared" si="33"/>
        <v>7</v>
      </c>
      <c r="AB239" s="15">
        <f t="shared" si="33"/>
        <v>1</v>
      </c>
      <c r="AC239" s="15">
        <f t="shared" si="33"/>
        <v>0</v>
      </c>
      <c r="AD239" s="15">
        <f t="shared" si="33"/>
        <v>707.96</v>
      </c>
      <c r="AE239" s="15">
        <f t="shared" si="33"/>
        <v>443.08</v>
      </c>
      <c r="AF239" s="69">
        <f t="shared" si="33"/>
        <v>264.88000000000005</v>
      </c>
      <c r="AG239" s="23">
        <f t="shared" si="33"/>
        <v>88.495000000000005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Paris Saint GermainCF</v>
      </c>
      <c r="Y240" s="78">
        <f t="shared" si="33"/>
        <v>19</v>
      </c>
      <c r="Z240" s="78">
        <f t="shared" si="33"/>
        <v>8</v>
      </c>
      <c r="AA240" s="78">
        <f t="shared" si="33"/>
        <v>6</v>
      </c>
      <c r="AB240" s="78">
        <f t="shared" si="33"/>
        <v>1</v>
      </c>
      <c r="AC240" s="78">
        <f t="shared" si="33"/>
        <v>1</v>
      </c>
      <c r="AD240" s="78">
        <f t="shared" si="33"/>
        <v>705.89</v>
      </c>
      <c r="AE240" s="78">
        <f t="shared" si="33"/>
        <v>623.21</v>
      </c>
      <c r="AF240" s="79">
        <f t="shared" si="33"/>
        <v>82.67999999999995</v>
      </c>
      <c r="AG240" s="24">
        <f t="shared" si="33"/>
        <v>88.236249999999998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Tabajara 1912 SFC 1912</v>
      </c>
      <c r="Y241" s="78">
        <f t="shared" si="33"/>
        <v>18</v>
      </c>
      <c r="Z241" s="78">
        <f t="shared" si="33"/>
        <v>8</v>
      </c>
      <c r="AA241" s="78">
        <f t="shared" si="33"/>
        <v>6</v>
      </c>
      <c r="AB241" s="78">
        <f t="shared" si="33"/>
        <v>0</v>
      </c>
      <c r="AC241" s="78">
        <f t="shared" si="33"/>
        <v>2</v>
      </c>
      <c r="AD241" s="78">
        <f t="shared" si="33"/>
        <v>560.53</v>
      </c>
      <c r="AE241" s="78">
        <f t="shared" si="33"/>
        <v>426.46000000000004</v>
      </c>
      <c r="AF241" s="79">
        <f t="shared" si="33"/>
        <v>134.06999999999994</v>
      </c>
      <c r="AG241" s="24">
        <f t="shared" si="33"/>
        <v>70.066249999999997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Coquinho bebidas 1 Ligas</v>
      </c>
      <c r="Y242" s="78">
        <f t="shared" si="33"/>
        <v>16</v>
      </c>
      <c r="Z242" s="78">
        <f t="shared" si="33"/>
        <v>8</v>
      </c>
      <c r="AA242" s="78">
        <f t="shared" si="33"/>
        <v>5</v>
      </c>
      <c r="AB242" s="78">
        <f t="shared" si="33"/>
        <v>1</v>
      </c>
      <c r="AC242" s="78">
        <f t="shared" si="33"/>
        <v>2</v>
      </c>
      <c r="AD242" s="78">
        <f t="shared" si="33"/>
        <v>721.97</v>
      </c>
      <c r="AE242" s="78">
        <f t="shared" si="33"/>
        <v>398.65</v>
      </c>
      <c r="AF242" s="79">
        <f t="shared" si="33"/>
        <v>323.32000000000005</v>
      </c>
      <c r="AG242" s="24">
        <f t="shared" si="33"/>
        <v>90.246250000000003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Óia o gato</v>
      </c>
      <c r="Y243" s="34">
        <f t="shared" si="33"/>
        <v>16</v>
      </c>
      <c r="Z243" s="34">
        <f t="shared" si="33"/>
        <v>8</v>
      </c>
      <c r="AA243" s="34">
        <f t="shared" si="33"/>
        <v>5</v>
      </c>
      <c r="AB243" s="34">
        <f t="shared" si="33"/>
        <v>1</v>
      </c>
      <c r="AC243" s="34">
        <f t="shared" si="33"/>
        <v>2</v>
      </c>
      <c r="AD243" s="34">
        <f t="shared" si="33"/>
        <v>669.68</v>
      </c>
      <c r="AE243" s="34">
        <f t="shared" si="33"/>
        <v>556.03</v>
      </c>
      <c r="AF243" s="71">
        <f t="shared" si="33"/>
        <v>113.64999999999998</v>
      </c>
      <c r="AG243" s="24">
        <f t="shared" si="33"/>
        <v>83.71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Bayern11</v>
      </c>
      <c r="Y244" s="34">
        <f t="shared" si="33"/>
        <v>16</v>
      </c>
      <c r="Z244" s="34">
        <f t="shared" si="33"/>
        <v>8</v>
      </c>
      <c r="AA244" s="34">
        <f t="shared" si="33"/>
        <v>5</v>
      </c>
      <c r="AB244" s="34">
        <f t="shared" si="33"/>
        <v>1</v>
      </c>
      <c r="AC244" s="34">
        <f t="shared" si="33"/>
        <v>2</v>
      </c>
      <c r="AD244" s="34">
        <f t="shared" si="33"/>
        <v>637.05999999999995</v>
      </c>
      <c r="AE244" s="34">
        <f t="shared" si="33"/>
        <v>531.49</v>
      </c>
      <c r="AF244" s="71">
        <f t="shared" si="33"/>
        <v>105.56999999999994</v>
      </c>
      <c r="AG244" s="24">
        <f t="shared" si="33"/>
        <v>79.632499999999993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Alex Antenas FC</v>
      </c>
      <c r="Y245" s="34">
        <f t="shared" si="33"/>
        <v>15</v>
      </c>
      <c r="Z245" s="34">
        <f t="shared" si="33"/>
        <v>8</v>
      </c>
      <c r="AA245" s="34">
        <f t="shared" si="33"/>
        <v>4</v>
      </c>
      <c r="AB245" s="34">
        <f t="shared" si="33"/>
        <v>3</v>
      </c>
      <c r="AC245" s="34">
        <f t="shared" si="33"/>
        <v>1</v>
      </c>
      <c r="AD245" s="34">
        <f t="shared" si="33"/>
        <v>653.21</v>
      </c>
      <c r="AE245" s="34">
        <f t="shared" si="33"/>
        <v>598.33000000000004</v>
      </c>
      <c r="AF245" s="71">
        <f t="shared" si="33"/>
        <v>54.879999999999995</v>
      </c>
      <c r="AG245" s="24">
        <f t="shared" si="33"/>
        <v>81.651250000000005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JIQUIRIFC</v>
      </c>
      <c r="Y246" s="34">
        <f t="shared" si="33"/>
        <v>14</v>
      </c>
      <c r="Z246" s="34">
        <f t="shared" si="33"/>
        <v>8</v>
      </c>
      <c r="AA246" s="34">
        <f t="shared" si="33"/>
        <v>4</v>
      </c>
      <c r="AB246" s="34">
        <f t="shared" si="33"/>
        <v>2</v>
      </c>
      <c r="AC246" s="34">
        <f t="shared" si="33"/>
        <v>2</v>
      </c>
      <c r="AD246" s="34">
        <f t="shared" si="33"/>
        <v>582.13</v>
      </c>
      <c r="AE246" s="34">
        <f t="shared" si="33"/>
        <v>498.54999999999995</v>
      </c>
      <c r="AF246" s="71">
        <f t="shared" si="33"/>
        <v>83.580000000000041</v>
      </c>
      <c r="AG246" s="24">
        <f t="shared" si="33"/>
        <v>72.766249999999999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maior do nordeste S C R</v>
      </c>
      <c r="Y247" s="34">
        <f t="shared" si="33"/>
        <v>13</v>
      </c>
      <c r="Z247" s="34">
        <f t="shared" si="33"/>
        <v>8</v>
      </c>
      <c r="AA247" s="34">
        <f t="shared" si="33"/>
        <v>4</v>
      </c>
      <c r="AB247" s="34">
        <f t="shared" si="33"/>
        <v>1</v>
      </c>
      <c r="AC247" s="34">
        <f t="shared" si="33"/>
        <v>3</v>
      </c>
      <c r="AD247" s="34">
        <f t="shared" si="33"/>
        <v>628.08000000000004</v>
      </c>
      <c r="AE247" s="34">
        <f t="shared" si="33"/>
        <v>565.97</v>
      </c>
      <c r="AF247" s="71">
        <f t="shared" si="33"/>
        <v>62.110000000000014</v>
      </c>
      <c r="AG247" s="24">
        <f t="shared" si="33"/>
        <v>78.510000000000005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Dióclecinho FC</v>
      </c>
      <c r="Y248" s="34">
        <f t="shared" si="33"/>
        <v>13</v>
      </c>
      <c r="Z248" s="34">
        <f t="shared" si="33"/>
        <v>8</v>
      </c>
      <c r="AA248" s="34">
        <f t="shared" si="33"/>
        <v>4</v>
      </c>
      <c r="AB248" s="34">
        <f t="shared" si="33"/>
        <v>1</v>
      </c>
      <c r="AC248" s="34">
        <f t="shared" si="33"/>
        <v>3</v>
      </c>
      <c r="AD248" s="34">
        <f t="shared" si="33"/>
        <v>398.47</v>
      </c>
      <c r="AE248" s="34">
        <f t="shared" si="33"/>
        <v>448.77</v>
      </c>
      <c r="AF248" s="71">
        <f t="shared" si="33"/>
        <v>-50.299999999999955</v>
      </c>
      <c r="AG248" s="24">
        <f t="shared" si="33"/>
        <v>49.808750000000003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família fc palmeiras</v>
      </c>
      <c r="Y249" s="34">
        <f t="shared" si="33"/>
        <v>12</v>
      </c>
      <c r="Z249" s="34">
        <f t="shared" si="33"/>
        <v>8</v>
      </c>
      <c r="AA249" s="34">
        <f t="shared" si="33"/>
        <v>3</v>
      </c>
      <c r="AB249" s="34">
        <f t="shared" si="33"/>
        <v>3</v>
      </c>
      <c r="AC249" s="34">
        <f t="shared" si="33"/>
        <v>2</v>
      </c>
      <c r="AD249" s="34">
        <f t="shared" si="33"/>
        <v>625.05999999999995</v>
      </c>
      <c r="AE249" s="34">
        <f t="shared" si="33"/>
        <v>548.99</v>
      </c>
      <c r="AF249" s="71">
        <f t="shared" si="33"/>
        <v>76.069999999999936</v>
      </c>
      <c r="AG249" s="24">
        <f t="shared" si="33"/>
        <v>78.132499999999993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inferCoral fc</v>
      </c>
      <c r="Y250" s="34">
        <f t="shared" si="33"/>
        <v>11</v>
      </c>
      <c r="Z250" s="34">
        <f t="shared" si="33"/>
        <v>8</v>
      </c>
      <c r="AA250" s="34">
        <f t="shared" si="33"/>
        <v>3</v>
      </c>
      <c r="AB250" s="34">
        <f t="shared" si="33"/>
        <v>2</v>
      </c>
      <c r="AC250" s="34">
        <f t="shared" si="33"/>
        <v>3</v>
      </c>
      <c r="AD250" s="34">
        <f t="shared" si="33"/>
        <v>624.64</v>
      </c>
      <c r="AE250" s="34">
        <f t="shared" si="33"/>
        <v>581.80999999999995</v>
      </c>
      <c r="AF250" s="71">
        <f t="shared" si="33"/>
        <v>42.830000000000041</v>
      </c>
      <c r="AG250" s="24">
        <f t="shared" si="33"/>
        <v>78.08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Go_Flash</v>
      </c>
      <c r="Y251" s="34">
        <f t="shared" si="33"/>
        <v>10</v>
      </c>
      <c r="Z251" s="34">
        <f t="shared" si="33"/>
        <v>8</v>
      </c>
      <c r="AA251" s="34">
        <f t="shared" si="33"/>
        <v>3</v>
      </c>
      <c r="AB251" s="34">
        <f t="shared" si="33"/>
        <v>1</v>
      </c>
      <c r="AC251" s="34">
        <f t="shared" si="33"/>
        <v>4</v>
      </c>
      <c r="AD251" s="34">
        <f t="shared" si="33"/>
        <v>352.01</v>
      </c>
      <c r="AE251" s="34">
        <f t="shared" si="33"/>
        <v>461.65999999999997</v>
      </c>
      <c r="AF251" s="71">
        <f t="shared" si="33"/>
        <v>-109.64999999999998</v>
      </c>
      <c r="AG251" s="24">
        <f t="shared" si="33"/>
        <v>44.001249999999999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THUNDER BRANCO</v>
      </c>
      <c r="Y252" s="34">
        <f t="shared" si="33"/>
        <v>6</v>
      </c>
      <c r="Z252" s="34">
        <f t="shared" si="33"/>
        <v>8</v>
      </c>
      <c r="AA252" s="34">
        <f t="shared" si="33"/>
        <v>2</v>
      </c>
      <c r="AB252" s="34">
        <f t="shared" si="33"/>
        <v>0</v>
      </c>
      <c r="AC252" s="34">
        <f t="shared" si="33"/>
        <v>6</v>
      </c>
      <c r="AD252" s="34">
        <f t="shared" si="33"/>
        <v>522.85</v>
      </c>
      <c r="AE252" s="34">
        <f t="shared" si="33"/>
        <v>545.88</v>
      </c>
      <c r="AF252" s="71">
        <f t="shared" si="33"/>
        <v>-23.029999999999973</v>
      </c>
      <c r="AG252" s="24">
        <f t="shared" si="33"/>
        <v>65.356250000000003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REVISILVA</v>
      </c>
      <c r="Y253" s="34">
        <f t="shared" si="33"/>
        <v>5</v>
      </c>
      <c r="Z253" s="34">
        <f t="shared" si="33"/>
        <v>8</v>
      </c>
      <c r="AA253" s="34">
        <f t="shared" si="33"/>
        <v>1</v>
      </c>
      <c r="AB253" s="34">
        <f t="shared" si="33"/>
        <v>2</v>
      </c>
      <c r="AC253" s="34">
        <f t="shared" si="33"/>
        <v>5</v>
      </c>
      <c r="AD253" s="34">
        <f t="shared" si="33"/>
        <v>520.38</v>
      </c>
      <c r="AE253" s="34">
        <f t="shared" si="33"/>
        <v>634.62</v>
      </c>
      <c r="AF253" s="71">
        <f t="shared" si="33"/>
        <v>-114.24000000000001</v>
      </c>
      <c r="AG253" s="24">
        <f t="shared" si="33"/>
        <v>65.047499999999999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Corinthians up city</v>
      </c>
      <c r="Y254" s="34">
        <f t="shared" si="33"/>
        <v>5</v>
      </c>
      <c r="Z254" s="34">
        <f t="shared" si="33"/>
        <v>8</v>
      </c>
      <c r="AA254" s="34">
        <f t="shared" si="33"/>
        <v>1</v>
      </c>
      <c r="AB254" s="34">
        <f t="shared" si="33"/>
        <v>2</v>
      </c>
      <c r="AC254" s="34">
        <f t="shared" si="33"/>
        <v>5</v>
      </c>
      <c r="AD254" s="34">
        <f t="shared" si="33"/>
        <v>523.18000000000006</v>
      </c>
      <c r="AE254" s="34">
        <f t="shared" si="33"/>
        <v>698.5</v>
      </c>
      <c r="AF254" s="71">
        <f t="shared" si="33"/>
        <v>-175.31999999999994</v>
      </c>
      <c r="AG254" s="24">
        <f t="shared" si="33"/>
        <v>65.397500000000008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Elite Coral Futebol Clube</v>
      </c>
      <c r="Y255" s="36">
        <f t="shared" si="34"/>
        <v>5</v>
      </c>
      <c r="Z255" s="36">
        <f t="shared" si="34"/>
        <v>8</v>
      </c>
      <c r="AA255" s="36">
        <f t="shared" si="34"/>
        <v>1</v>
      </c>
      <c r="AB255" s="36">
        <f t="shared" si="34"/>
        <v>2</v>
      </c>
      <c r="AC255" s="36">
        <f t="shared" si="34"/>
        <v>5</v>
      </c>
      <c r="AD255" s="36">
        <f t="shared" si="34"/>
        <v>416.07000000000005</v>
      </c>
      <c r="AE255" s="36">
        <f t="shared" si="34"/>
        <v>604.51</v>
      </c>
      <c r="AF255" s="72">
        <f t="shared" si="34"/>
        <v>-188.43999999999994</v>
      </c>
      <c r="AG255" s="24">
        <f t="shared" si="34"/>
        <v>52.008750000000006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SE Palmeiras Riachense</v>
      </c>
      <c r="Y256" s="36">
        <f t="shared" si="35"/>
        <v>4</v>
      </c>
      <c r="Z256" s="36">
        <f t="shared" si="35"/>
        <v>8</v>
      </c>
      <c r="AA256" s="36">
        <f t="shared" si="35"/>
        <v>1</v>
      </c>
      <c r="AB256" s="36">
        <f t="shared" si="35"/>
        <v>1</v>
      </c>
      <c r="AC256" s="36">
        <f t="shared" si="35"/>
        <v>6</v>
      </c>
      <c r="AD256" s="36">
        <f t="shared" si="35"/>
        <v>514.94000000000005</v>
      </c>
      <c r="AE256" s="36">
        <f t="shared" si="35"/>
        <v>702.54</v>
      </c>
      <c r="AF256" s="72">
        <f t="shared" si="35"/>
        <v>-187.59999999999991</v>
      </c>
      <c r="AG256" s="24">
        <f t="shared" si="35"/>
        <v>64.367500000000007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Chambá EC</v>
      </c>
      <c r="Y257" s="36">
        <f t="shared" si="35"/>
        <v>3</v>
      </c>
      <c r="Z257" s="36">
        <f t="shared" si="35"/>
        <v>8</v>
      </c>
      <c r="AA257" s="36">
        <f t="shared" si="35"/>
        <v>1</v>
      </c>
      <c r="AB257" s="36">
        <f t="shared" si="35"/>
        <v>0</v>
      </c>
      <c r="AC257" s="36">
        <f t="shared" si="35"/>
        <v>7</v>
      </c>
      <c r="AD257" s="36">
        <f t="shared" si="35"/>
        <v>334.24</v>
      </c>
      <c r="AE257" s="36">
        <f t="shared" si="35"/>
        <v>649.39</v>
      </c>
      <c r="AF257" s="72">
        <f t="shared" si="35"/>
        <v>-315.14999999999998</v>
      </c>
      <c r="AG257" s="24">
        <f t="shared" si="35"/>
        <v>41.78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Fc-Villa-do-Rato-Fc</v>
      </c>
      <c r="Y258" s="17">
        <f t="shared" si="35"/>
        <v>3</v>
      </c>
      <c r="Z258" s="17">
        <f t="shared" si="35"/>
        <v>8</v>
      </c>
      <c r="AA258" s="17">
        <f t="shared" si="35"/>
        <v>0</v>
      </c>
      <c r="AB258" s="17">
        <f t="shared" si="35"/>
        <v>3</v>
      </c>
      <c r="AC258" s="17">
        <f t="shared" si="35"/>
        <v>5</v>
      </c>
      <c r="AD258" s="17">
        <f t="shared" si="35"/>
        <v>429.66999999999996</v>
      </c>
      <c r="AE258" s="17">
        <f t="shared" si="35"/>
        <v>609.57999999999993</v>
      </c>
      <c r="AF258" s="73">
        <f t="shared" si="35"/>
        <v>-179.90999999999997</v>
      </c>
      <c r="AG258" s="25">
        <f t="shared" si="35"/>
        <v>53.708749999999995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F12" sqref="F12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4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0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1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1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1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0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2026-09-15T15:11:06Z</dcterms:modified>
</cp:coreProperties>
</file>