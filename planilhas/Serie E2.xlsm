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C8D355F4-685D-4F0C-9FB1-934E7B54933B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C131" i="3"/>
  <c r="B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C128" i="3"/>
  <c r="A128" i="3"/>
  <c r="B128" i="3" s="1"/>
  <c r="Q127" i="3"/>
  <c r="P127" i="3" s="1"/>
  <c r="O127" i="3"/>
  <c r="N127" i="3"/>
  <c r="D127" i="3"/>
  <c r="A127" i="3" s="1"/>
  <c r="B127" i="3" s="1"/>
  <c r="C127" i="3"/>
  <c r="Q126" i="3"/>
  <c r="P126" i="3" s="1"/>
  <c r="O126" i="3"/>
  <c r="N126" i="3"/>
  <c r="D126" i="3"/>
  <c r="C126" i="3"/>
  <c r="A126" i="3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A124" i="3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/>
  <c r="B120" i="3" s="1"/>
  <c r="Q119" i="3"/>
  <c r="P119" i="3" s="1"/>
  <c r="O119" i="3"/>
  <c r="N119" i="3"/>
  <c r="D119" i="3"/>
  <c r="A119" i="3" s="1"/>
  <c r="B119" i="3" s="1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/>
  <c r="B112" i="3" s="1"/>
  <c r="Q111" i="3"/>
  <c r="P111" i="3" s="1"/>
  <c r="O111" i="3"/>
  <c r="N111" i="3"/>
  <c r="D111" i="3"/>
  <c r="A111" i="3" s="1"/>
  <c r="B111" i="3" s="1"/>
  <c r="C111" i="3"/>
  <c r="Q108" i="3"/>
  <c r="P108" i="3" s="1"/>
  <c r="O108" i="3"/>
  <c r="N108" i="3"/>
  <c r="D108" i="3"/>
  <c r="C108" i="3"/>
  <c r="A108" i="3"/>
  <c r="B108" i="3" s="1"/>
  <c r="Q107" i="3"/>
  <c r="P107" i="3" s="1"/>
  <c r="O107" i="3"/>
  <c r="N107" i="3"/>
  <c r="D107" i="3"/>
  <c r="A107" i="3" s="1"/>
  <c r="B107" i="3" s="1"/>
  <c r="C107" i="3"/>
  <c r="Q106" i="3"/>
  <c r="P106" i="3" s="1"/>
  <c r="O106" i="3"/>
  <c r="N106" i="3"/>
  <c r="D106" i="3"/>
  <c r="C106" i="3"/>
  <c r="A106" i="3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A92" i="3" s="1"/>
  <c r="C92" i="3"/>
  <c r="B92" i="3"/>
  <c r="Q91" i="3"/>
  <c r="P91" i="3" s="1"/>
  <c r="O91" i="3"/>
  <c r="N91" i="3"/>
  <c r="D91" i="3"/>
  <c r="A91" i="3" s="1"/>
  <c r="B91" i="3" s="1"/>
  <c r="C91" i="3"/>
  <c r="Q90" i="3"/>
  <c r="P90" i="3" s="1"/>
  <c r="O90" i="3"/>
  <c r="N90" i="3"/>
  <c r="D90" i="3"/>
  <c r="A90" i="3" s="1"/>
  <c r="C90" i="3"/>
  <c r="B90" i="3"/>
  <c r="Q89" i="3"/>
  <c r="P89" i="3" s="1"/>
  <c r="O89" i="3"/>
  <c r="N89" i="3"/>
  <c r="D89" i="3"/>
  <c r="A89" i="3" s="1"/>
  <c r="B89" i="3" s="1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A78" i="3" s="1"/>
  <c r="C78" i="3"/>
  <c r="B78" i="3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A76" i="3" s="1"/>
  <c r="C76" i="3"/>
  <c r="B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AE7" i="3" s="1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AE15" i="3" s="1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8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AD22" i="3" s="1"/>
  <c r="Q4" i="3"/>
  <c r="P4" i="3" s="1"/>
  <c r="O4" i="3"/>
  <c r="AD11" i="3" s="1"/>
  <c r="N4" i="3"/>
  <c r="D4" i="3"/>
  <c r="C4" i="3"/>
  <c r="A4" i="3" s="1"/>
  <c r="B4" i="3" s="1"/>
  <c r="AD4" i="3"/>
  <c r="Q3" i="3"/>
  <c r="P3" i="3" s="1"/>
  <c r="O3" i="3"/>
  <c r="N3" i="3"/>
  <c r="D3" i="3"/>
  <c r="C3" i="3"/>
  <c r="AE13" i="3" l="1"/>
  <c r="A64" i="3"/>
  <c r="B64" i="3" s="1"/>
  <c r="A67" i="3"/>
  <c r="B67" i="3" s="1"/>
  <c r="AC21" i="3" s="1"/>
  <c r="A72" i="3"/>
  <c r="B72" i="3" s="1"/>
  <c r="AE6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3" i="3"/>
  <c r="AF13" i="3" s="1"/>
  <c r="A44" i="3"/>
  <c r="B44" i="3" s="1"/>
  <c r="A47" i="3"/>
  <c r="B47" i="3" s="1"/>
  <c r="A43" i="3"/>
  <c r="B43" i="3" s="1"/>
  <c r="A48" i="3"/>
  <c r="B48" i="3" s="1"/>
  <c r="A33" i="3"/>
  <c r="B33" i="3" s="1"/>
  <c r="AD8" i="3"/>
  <c r="AF8" i="3" s="1"/>
  <c r="AD6" i="3"/>
  <c r="AE18" i="3"/>
  <c r="AE3" i="3"/>
  <c r="AE20" i="3"/>
  <c r="AE16" i="3"/>
  <c r="AD9" i="3"/>
  <c r="A15" i="3"/>
  <c r="B15" i="3" s="1"/>
  <c r="A21" i="3"/>
  <c r="B21" i="3" s="1"/>
  <c r="AA11" i="3" s="1"/>
  <c r="A22" i="3"/>
  <c r="B22" i="3" s="1"/>
  <c r="A24" i="3"/>
  <c r="B24" i="3" s="1"/>
  <c r="AE14" i="3"/>
  <c r="AD20" i="3"/>
  <c r="A18" i="3"/>
  <c r="B18" i="3" s="1"/>
  <c r="AD15" i="3"/>
  <c r="AF15" i="3" s="1"/>
  <c r="AD19" i="3"/>
  <c r="AE4" i="3"/>
  <c r="A5" i="3"/>
  <c r="B5" i="3" s="1"/>
  <c r="AB22" i="3" s="1"/>
  <c r="AD18" i="3"/>
  <c r="AD3" i="3"/>
  <c r="AE21" i="3"/>
  <c r="A3" i="3"/>
  <c r="B3" i="3" s="1"/>
  <c r="AE19" i="3"/>
  <c r="A11" i="3"/>
  <c r="B11" i="3" s="1"/>
  <c r="AD17" i="3"/>
  <c r="AE12" i="3"/>
  <c r="AE5" i="3"/>
  <c r="AD7" i="3"/>
  <c r="AC9" i="3"/>
  <c r="AC22" i="3"/>
  <c r="AB10" i="3"/>
  <c r="AB6" i="3"/>
  <c r="AB19" i="3"/>
  <c r="AC19" i="3"/>
  <c r="AA19" i="3"/>
  <c r="AC3" i="3"/>
  <c r="AA3" i="3"/>
  <c r="AB3" i="3"/>
  <c r="AA12" i="3"/>
  <c r="AC12" i="3"/>
  <c r="AB12" i="3"/>
  <c r="AB15" i="3"/>
  <c r="AA15" i="3"/>
  <c r="AC15" i="3"/>
  <c r="AE9" i="3"/>
  <c r="AE22" i="3"/>
  <c r="A82" i="3"/>
  <c r="B82" i="3" s="1"/>
  <c r="A84" i="3"/>
  <c r="B84" i="3" s="1"/>
  <c r="AC4" i="3" s="1"/>
  <c r="A88" i="3"/>
  <c r="B88" i="3" s="1"/>
  <c r="AA6" i="3" s="1"/>
  <c r="A94" i="3"/>
  <c r="B94" i="3" s="1"/>
  <c r="A96" i="3"/>
  <c r="B96" i="3" s="1"/>
  <c r="A100" i="3"/>
  <c r="B100" i="3" s="1"/>
  <c r="A102" i="3"/>
  <c r="B102" i="3" s="1"/>
  <c r="AE11" i="3"/>
  <c r="AE17" i="3"/>
  <c r="AD16" i="3"/>
  <c r="A6" i="3"/>
  <c r="B6" i="3" s="1"/>
  <c r="AD10" i="3"/>
  <c r="A10" i="3"/>
  <c r="B10" i="3" s="1"/>
  <c r="AD12" i="3"/>
  <c r="AD5" i="3"/>
  <c r="AD21" i="3"/>
  <c r="AD14" i="3"/>
  <c r="AE10" i="3"/>
  <c r="AE242" i="3" s="1"/>
  <c r="A59" i="3"/>
  <c r="B59" i="3" s="1"/>
  <c r="A79" i="3"/>
  <c r="B79" i="3" s="1"/>
  <c r="A81" i="3"/>
  <c r="B81" i="3" s="1"/>
  <c r="A83" i="3"/>
  <c r="B83" i="3" s="1"/>
  <c r="A87" i="3"/>
  <c r="B87" i="3" s="1"/>
  <c r="AC14" i="3" s="1"/>
  <c r="A93" i="3"/>
  <c r="B93" i="3" s="1"/>
  <c r="AB9" i="3" s="1"/>
  <c r="A95" i="3"/>
  <c r="B95" i="3" s="1"/>
  <c r="A99" i="3"/>
  <c r="B99" i="3" s="1"/>
  <c r="AC10" i="3" s="1"/>
  <c r="A101" i="3"/>
  <c r="B101" i="3" s="1"/>
  <c r="AC18" i="3" s="1"/>
  <c r="A103" i="3"/>
  <c r="B103" i="3" s="1"/>
  <c r="A227" i="3"/>
  <c r="B227" i="3" s="1"/>
  <c r="A226" i="3"/>
  <c r="B226" i="3" s="1"/>
  <c r="AB21" i="3" l="1"/>
  <c r="AF6" i="3"/>
  <c r="AA8" i="3"/>
  <c r="AA5" i="3"/>
  <c r="AC17" i="3"/>
  <c r="AB7" i="3"/>
  <c r="AD242" i="3"/>
  <c r="AF20" i="3"/>
  <c r="AE253" i="3"/>
  <c r="AD240" i="3"/>
  <c r="AE243" i="3"/>
  <c r="AE239" i="3"/>
  <c r="AD248" i="3"/>
  <c r="AE245" i="3"/>
  <c r="AD255" i="3"/>
  <c r="AE255" i="3"/>
  <c r="AE249" i="3"/>
  <c r="AC11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8" i="3"/>
  <c r="AE258" i="3"/>
  <c r="AF7" i="3"/>
  <c r="AF19" i="3"/>
  <c r="AD252" i="3"/>
  <c r="AE247" i="3"/>
  <c r="AE248" i="3"/>
  <c r="AF4" i="3"/>
  <c r="AE254" i="3"/>
  <c r="AD251" i="3"/>
  <c r="AE251" i="3"/>
  <c r="AE256" i="3"/>
  <c r="AE244" i="3"/>
  <c r="AF3" i="3"/>
  <c r="AB16" i="3"/>
  <c r="AF9" i="3"/>
  <c r="Y6" i="3"/>
  <c r="Z15" i="3"/>
  <c r="Y15" i="3"/>
  <c r="AB5" i="3"/>
  <c r="AB11" i="3"/>
  <c r="AB258" i="3" s="1"/>
  <c r="Y12" i="3"/>
  <c r="Z12" i="3"/>
  <c r="AC16" i="3"/>
  <c r="AC7" i="3"/>
  <c r="AA21" i="3"/>
  <c r="AA17" i="3"/>
  <c r="AC6" i="3"/>
  <c r="AA10" i="3"/>
  <c r="AA4" i="3"/>
  <c r="AD257" i="3"/>
  <c r="AF21" i="3"/>
  <c r="AC8" i="3"/>
  <c r="Y3" i="3"/>
  <c r="Z3" i="3"/>
  <c r="AB14" i="3"/>
  <c r="AA7" i="3"/>
  <c r="AA258" i="3"/>
  <c r="AD253" i="3"/>
  <c r="AF5" i="3"/>
  <c r="AB20" i="3"/>
  <c r="AA20" i="3"/>
  <c r="AC20" i="3"/>
  <c r="AB8" i="3"/>
  <c r="AC5" i="3"/>
  <c r="AA18" i="3"/>
  <c r="AA16" i="3"/>
  <c r="AA14" i="3"/>
  <c r="Y19" i="3"/>
  <c r="Z19" i="3"/>
  <c r="AB17" i="3"/>
  <c r="AB4" i="3"/>
  <c r="AA9" i="3"/>
  <c r="AD249" i="3"/>
  <c r="AF12" i="3"/>
  <c r="AB18" i="3"/>
  <c r="AF17" i="3"/>
  <c r="AF11" i="3"/>
  <c r="AB13" i="3"/>
  <c r="AA13" i="3"/>
  <c r="AC13" i="3"/>
  <c r="AD244" i="3"/>
  <c r="AF14" i="3"/>
  <c r="AD245" i="3"/>
  <c r="AF10" i="3"/>
  <c r="AD256" i="3"/>
  <c r="AF16" i="3"/>
  <c r="AF22" i="3"/>
  <c r="AC247" i="3" l="1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11" i="3"/>
  <c r="Z258" i="3" s="1"/>
  <c r="Y11" i="3"/>
  <c r="Y8" i="3"/>
  <c r="AA254" i="3"/>
  <c r="Z9" i="3"/>
  <c r="Y9" i="3"/>
  <c r="AA239" i="3"/>
  <c r="Y4" i="3"/>
  <c r="Z4" i="3"/>
  <c r="AG12" i="3"/>
  <c r="AA244" i="3"/>
  <c r="Y14" i="3"/>
  <c r="Z14" i="3"/>
  <c r="AG22" i="3"/>
  <c r="AG3" i="3"/>
  <c r="AA245" i="3"/>
  <c r="Y10" i="3"/>
  <c r="Z10" i="3"/>
  <c r="AG15" i="3"/>
  <c r="Z5" i="3"/>
  <c r="AA246" i="3"/>
  <c r="Z13" i="3"/>
  <c r="Y13" i="3"/>
  <c r="AA257" i="3"/>
  <c r="Z21" i="3"/>
  <c r="Y21" i="3"/>
  <c r="AG19" i="3"/>
  <c r="AA256" i="3"/>
  <c r="Z16" i="3"/>
  <c r="Y16" i="3"/>
  <c r="Z6" i="3"/>
  <c r="Y5" i="3"/>
  <c r="AA250" i="3"/>
  <c r="Z18" i="3"/>
  <c r="Y18" i="3"/>
  <c r="AA240" i="3"/>
  <c r="Z20" i="3"/>
  <c r="Y20" i="3"/>
  <c r="AA242" i="3"/>
  <c r="Z7" i="3"/>
  <c r="Y7" i="3"/>
  <c r="AA255" i="3"/>
  <c r="Y17" i="3"/>
  <c r="Z17" i="3"/>
  <c r="Z8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11" i="3"/>
  <c r="AG258" i="3" s="1"/>
  <c r="Z243" i="3"/>
  <c r="AG8" i="3"/>
  <c r="Z240" i="3"/>
  <c r="AG20" i="3"/>
  <c r="Z256" i="3"/>
  <c r="AG16" i="3"/>
  <c r="Z246" i="3"/>
  <c r="AG13" i="3"/>
  <c r="Z244" i="3"/>
  <c r="AG14" i="3"/>
  <c r="Z255" i="3"/>
  <c r="AG17" i="3"/>
  <c r="Z242" i="3"/>
  <c r="AG7" i="3"/>
  <c r="Z257" i="3"/>
  <c r="AG21" i="3"/>
  <c r="Z245" i="3"/>
  <c r="AG10" i="3"/>
  <c r="Z241" i="3"/>
  <c r="AG6" i="3"/>
  <c r="Z253" i="3"/>
  <c r="AG5" i="3"/>
  <c r="Z239" i="3"/>
  <c r="AG4" i="3"/>
  <c r="Z254" i="3"/>
  <c r="AG9" i="3"/>
  <c r="Z250" i="3"/>
  <c r="AG18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<sst xmlns="http://schemas.openxmlformats.org/spreadsheetml/2006/main" count="1157" uniqueCount="101">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</sst>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4" zoomScale="75" zoomScaleNormal="75" workbookViewId="0">
      <selection activeCell="X68" sqref="X68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86</v>
      </c>
      <c r="Y3" s="53">
        <f>SUM((AA3*3)+AB3)</f>
        <v>16</v>
      </c>
      <c r="Z3" s="53">
        <f>SUM(AA3+AB3+AC3)</f>
        <v>6</v>
      </c>
      <c r="AA3" s="53">
        <f>COUNTIFS($G$3:$G$228,X3,$B$3:$B$228,"V")+COUNTIFS($K$3:$K$228,X3,$P$3:$P$228,"V")</f>
        <v>5</v>
      </c>
      <c r="AB3" s="53">
        <f>COUNTIFS($G$3:$G$228,X3,$B$3:$B$228,"E",$H$3:$H$228,"&lt;&gt;"&amp;"")+COUNTIFS($K$3:$K$228,X3,$P$3:$P$228,"E",$J$3:$J$228,"&lt;&gt;"&amp;"")</f>
        <v>1</v>
      </c>
      <c r="AC3" s="53">
        <f>COUNTIFS($G$3:$G$228,X3,$B$3:$B$228,"D")+COUNTIFS($K$3:$K$228,X3,$P$3:$P$228,"D")</f>
        <v>0</v>
      </c>
      <c r="AD3" s="53">
        <f>SUMIFS($C$3:$C$228,$G$3:$G$228,X3)+SUMIFS($O$3:$O$228,$K$3:$K$228,X3)</f>
        <v>569.91</v>
      </c>
      <c r="AE3" s="53">
        <f>SUMIFS($D$3:$D$228,$G$3:$G$228,X3)+SUMIFS($N$3:$N$228,$K$3:$K$228,X3)</f>
        <v>379.35</v>
      </c>
      <c r="AF3" s="53">
        <f>SUM(AD3-AE3)</f>
        <v>190.55999999999995</v>
      </c>
      <c r="AG3" s="21">
        <f>SUM(AD3/Z3)</f>
        <v>94.984999999999999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79</v>
      </c>
      <c r="Y4" s="64">
        <f>SUM((AA4*3)+AB4)</f>
        <v>15</v>
      </c>
      <c r="Z4" s="64">
        <f>SUM(AA4+AB4+AC4)</f>
        <v>6</v>
      </c>
      <c r="AA4" s="64">
        <f>COUNTIFS($G$3:$G$228,X4,$B$3:$B$228,"V")+COUNTIFS($K$3:$K$228,X4,$P$3:$P$228,"V")</f>
        <v>5</v>
      </c>
      <c r="AB4" s="64">
        <f>COUNTIFS($G$3:$G$228,X4,$B$3:$B$228,"E",$H$3:$H$228,"&lt;&gt;"&amp;"")+COUNTIFS($K$3:$K$228,X4,$P$3:$P$228,"E",$J$3:$J$228,"&lt;&gt;"&amp;"")</f>
        <v>0</v>
      </c>
      <c r="AC4" s="64">
        <f>COUNTIFS($G$3:$G$228,X4,$B$3:$B$228,"D")+COUNTIFS($K$3:$K$228,X4,$P$3:$P$228,"D")</f>
        <v>1</v>
      </c>
      <c r="AD4" s="64">
        <f>SUMIFS($C$3:$C$228,$G$3:$G$228,X4)+SUMIFS($O$3:$O$228,$K$3:$K$228,X4)</f>
        <v>574.59999999999991</v>
      </c>
      <c r="AE4" s="64">
        <f>SUMIFS($D$3:$D$228,$G$3:$G$228,X4)+SUMIFS($N$3:$N$228,$K$3:$K$228,X4)</f>
        <v>319.88</v>
      </c>
      <c r="AF4" s="64">
        <f>SUM(AD4-AE4)</f>
        <v>254.71999999999991</v>
      </c>
      <c r="AG4" s="22">
        <f>SUM(AD4/Z4)</f>
        <v>95.766666666666652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13</v>
      </c>
      <c r="Z5" s="41">
        <f>SUM(AA5+AB5+AC5)</f>
        <v>6</v>
      </c>
      <c r="AA5" s="41">
        <f>COUNTIFS($G$3:$G$228,X5,$B$3:$B$228,"V")+COUNTIFS($K$3:$K$228,X5,$P$3:$P$228,"V")</f>
        <v>4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1</v>
      </c>
      <c r="AD5" s="41">
        <f>SUMIFS($C$3:$C$228,$G$3:$G$228,X5)+SUMIFS($O$3:$O$228,$K$3:$K$228,X5)</f>
        <v>550.27</v>
      </c>
      <c r="AE5" s="41">
        <f>SUMIFS($D$3:$D$228,$G$3:$G$228,X5)+SUMIFS($N$3:$N$228,$K$3:$K$228,X5)</f>
        <v>371.93</v>
      </c>
      <c r="AF5" s="73">
        <f>SUM(AD5-AE5)</f>
        <v>178.33999999999997</v>
      </c>
      <c r="AG5" s="22">
        <f>SUM(AD5/Z5)</f>
        <v>91.711666666666659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99</v>
      </c>
      <c r="Y6" s="64">
        <f>SUM((AA6*3)+AB6)</f>
        <v>13</v>
      </c>
      <c r="Z6" s="64">
        <f>SUM(AA6+AB6+AC6)</f>
        <v>6</v>
      </c>
      <c r="AA6" s="64">
        <f>COUNTIFS($G$3:$G$228,X6,$B$3:$B$228,"V")+COUNTIFS($K$3:$K$228,X6,$P$3:$P$228,"V")</f>
        <v>4</v>
      </c>
      <c r="AB6" s="64">
        <f>COUNTIFS($G$3:$G$228,X6,$B$3:$B$228,"E",$H$3:$H$228,"&lt;&gt;"&amp;"")+COUNTIFS($K$3:$K$228,X6,$P$3:$P$228,"E",$J$3:$J$228,"&lt;&gt;"&amp;"")</f>
        <v>1</v>
      </c>
      <c r="AC6" s="64">
        <f>COUNTIFS($G$3:$G$228,X6,$B$3:$B$228,"D")+COUNTIFS($K$3:$K$228,X6,$P$3:$P$228,"D")</f>
        <v>1</v>
      </c>
      <c r="AD6" s="64">
        <f>SUMIFS($C$3:$C$228,$G$3:$G$228,X6)+SUMIFS($O$3:$O$228,$K$3:$K$228,X6)</f>
        <v>538.01</v>
      </c>
      <c r="AE6" s="64">
        <f>SUMIFS($D$3:$D$228,$G$3:$G$228,X6)+SUMIFS($N$3:$N$228,$K$3:$K$228,X6)</f>
        <v>378</v>
      </c>
      <c r="AF6" s="64">
        <f>SUM(AD6-AE6)</f>
        <v>160.01</v>
      </c>
      <c r="AG6" s="22">
        <f>SUM(AD6/Z6)</f>
        <v>89.668333333333337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70</v>
      </c>
      <c r="Y7" s="41">
        <f>SUM((AA7*3)+AB7)</f>
        <v>12</v>
      </c>
      <c r="Z7" s="41">
        <f>SUM(AA7+AB7+AC7)</f>
        <v>6</v>
      </c>
      <c r="AA7" s="41">
        <f>COUNTIFS($G$3:$G$228,X7,$B$3:$B$228,"V")+COUNTIFS($K$3:$K$228,X7,$P$3:$P$228,"V")</f>
        <v>4</v>
      </c>
      <c r="AB7" s="41">
        <f>COUNTIFS($G$3:$G$228,X7,$B$3:$B$228,"E",$H$3:$H$228,"&lt;&gt;"&amp;"")+COUNTIFS($K$3:$K$228,X7,$P$3:$P$228,"E",$J$3:$J$228,"&lt;&gt;"&amp;"")</f>
        <v>0</v>
      </c>
      <c r="AC7" s="41">
        <f>COUNTIFS($G$3:$G$228,X7,$B$3:$B$228,"D")+COUNTIFS($K$3:$K$228,X7,$P$3:$P$228,"D")</f>
        <v>2</v>
      </c>
      <c r="AD7" s="41">
        <f>SUMIFS($C$3:$C$228,$G$3:$G$228,X7)+SUMIFS($O$3:$O$228,$K$3:$K$228,X7)</f>
        <v>423.44</v>
      </c>
      <c r="AE7" s="41">
        <f>SUMIFS($D$3:$D$228,$G$3:$G$228,X7)+SUMIFS($N$3:$N$228,$K$3:$K$228,X7)</f>
        <v>348.3</v>
      </c>
      <c r="AF7" s="41">
        <f>SUM(AD7-AE7)</f>
        <v>75.139999999999986</v>
      </c>
      <c r="AG7" s="22">
        <f>SUM(AD7/Z7)</f>
        <v>70.573333333333338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97</v>
      </c>
      <c r="Y8" s="64">
        <f>SUM((AA8*3)+AB8)</f>
        <v>12</v>
      </c>
      <c r="Z8" s="64">
        <f>SUM(AA8+AB8+AC8)</f>
        <v>6</v>
      </c>
      <c r="AA8" s="64">
        <f>COUNTIFS($G$3:$G$228,X8,$B$3:$B$228,"V")+COUNTIFS($K$3:$K$228,X8,$P$3:$P$228,"V")</f>
        <v>4</v>
      </c>
      <c r="AB8" s="64">
        <f>COUNTIFS($G$3:$G$228,X8,$B$3:$B$228,"E",$H$3:$H$228,"&lt;&gt;"&amp;"")+COUNTIFS($K$3:$K$228,X8,$P$3:$P$228,"E",$J$3:$J$228,"&lt;&gt;"&amp;"")</f>
        <v>0</v>
      </c>
      <c r="AC8" s="64">
        <f>COUNTIFS($G$3:$G$228,X8,$B$3:$B$228,"D")+COUNTIFS($K$3:$K$228,X8,$P$3:$P$228,"D")</f>
        <v>2</v>
      </c>
      <c r="AD8" s="64">
        <f>SUMIFS($C$3:$C$228,$G$3:$G$228,X8)+SUMIFS($O$3:$O$228,$K$3:$K$228,X8)</f>
        <v>495.71000000000004</v>
      </c>
      <c r="AE8" s="64">
        <f>SUMIFS($D$3:$D$228,$G$3:$G$228,X8)+SUMIFS($N$3:$N$228,$K$3:$K$228,X8)</f>
        <v>470.80999999999995</v>
      </c>
      <c r="AF8" s="64">
        <f>SUM(AD8-AE8)</f>
        <v>24.900000000000091</v>
      </c>
      <c r="AG8" s="22">
        <f>SUM(AD8/Z8)</f>
        <v>82.618333333333339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69</v>
      </c>
      <c r="Y9" s="65">
        <f>SUM((AA9*3)+AB9)</f>
        <v>11</v>
      </c>
      <c r="Z9" s="65">
        <f>SUM(AA9+AB9+AC9)</f>
        <v>6</v>
      </c>
      <c r="AA9" s="64">
        <f>COUNTIFS($G$3:$G$228,X9,$B$3:$B$228,"V")+COUNTIFS($K$3:$K$228,X9,$P$3:$P$228,"V")</f>
        <v>3</v>
      </c>
      <c r="AB9" s="64">
        <f>COUNTIFS($G$3:$G$228,X9,$B$3:$B$228,"E",$H$3:$H$228,"&lt;&gt;"&amp;"")+COUNTIFS($K$3:$K$228,X9,$P$3:$P$228,"E",$J$3:$J$228,"&lt;&gt;"&amp;"")</f>
        <v>2</v>
      </c>
      <c r="AC9" s="64">
        <f>COUNTIFS($G$3:$G$228,X9,$B$3:$B$228,"D")+COUNTIFS($K$3:$K$228,X9,$P$3:$P$228,"D")</f>
        <v>1</v>
      </c>
      <c r="AD9" s="64">
        <f>SUMIFS($C$3:$C$228,$G$3:$G$228,X9)+SUMIFS($O$3:$O$228,$K$3:$K$228,X9)</f>
        <v>538.65</v>
      </c>
      <c r="AE9" s="64">
        <f>SUMIFS($D$3:$D$228,$G$3:$G$228,X9)+SUMIFS($N$3:$N$228,$K$3:$K$228,X9)</f>
        <v>413.19999999999993</v>
      </c>
      <c r="AF9" s="65">
        <f>SUM(AD9-AE9)</f>
        <v>125.45000000000005</v>
      </c>
      <c r="AG9" s="22">
        <f>SUM(AD9/Z9)</f>
        <v>89.774999999999991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81</v>
      </c>
      <c r="Y10" s="41">
        <f>SUM((AA10*3)+AB10)</f>
        <v>11</v>
      </c>
      <c r="Z10" s="41">
        <f>SUM(AA10+AB10+AC10)</f>
        <v>6</v>
      </c>
      <c r="AA10" s="41">
        <f>COUNTIFS($G$3:$G$228,X10,$B$3:$B$228,"V")+COUNTIFS($K$3:$K$228,X10,$P$3:$P$228,"V")</f>
        <v>3</v>
      </c>
      <c r="AB10" s="41">
        <f>COUNTIFS($G$3:$G$228,X10,$B$3:$B$228,"E",$H$3:$H$228,"&lt;&gt;"&amp;"")+COUNTIFS($K$3:$K$228,X10,$P$3:$P$228,"E",$J$3:$J$228,"&lt;&gt;"&amp;"")</f>
        <v>2</v>
      </c>
      <c r="AC10" s="41">
        <f>COUNTIFS($G$3:$G$228,X10,$B$3:$B$228,"D")+COUNTIFS($K$3:$K$228,X10,$P$3:$P$228,"D")</f>
        <v>1</v>
      </c>
      <c r="AD10" s="41">
        <f>SUMIFS($C$3:$C$228,$G$3:$G$228,X10)+SUMIFS($O$3:$O$228,$K$3:$K$228,X10)</f>
        <v>515.66000000000008</v>
      </c>
      <c r="AE10" s="41">
        <f>SUMIFS($D$3:$D$228,$G$3:$G$228,X10)+SUMIFS($N$3:$N$228,$K$3:$K$228,X10)</f>
        <v>484.47999999999996</v>
      </c>
      <c r="AF10" s="41">
        <f>SUM(AD10-AE10)</f>
        <v>31.180000000000121</v>
      </c>
      <c r="AG10" s="22">
        <f>SUM(AD10/Z10)</f>
        <v>85.943333333333342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95</v>
      </c>
      <c r="Y11" s="65">
        <f>SUM((AA11*3)+AB11)</f>
        <v>10</v>
      </c>
      <c r="Z11" s="65">
        <f>SUM(AA11+AB11+AC11)</f>
        <v>6</v>
      </c>
      <c r="AA11" s="64">
        <f>COUNTIFS($G$3:$G$228,X11,$B$3:$B$228,"V")+COUNTIFS($K$3:$K$228,X11,$P$3:$P$228,"V")</f>
        <v>3</v>
      </c>
      <c r="AB11" s="64">
        <f>COUNTIFS($G$3:$G$228,X11,$B$3:$B$228,"E",$H$3:$H$228,"&lt;&gt;"&amp;"")+COUNTIFS($K$3:$K$228,X11,$P$3:$P$228,"E",$J$3:$J$228,"&lt;&gt;"&amp;"")</f>
        <v>1</v>
      </c>
      <c r="AC11" s="64">
        <f>COUNTIFS($G$3:$G$228,X11,$B$3:$B$228,"D")+COUNTIFS($K$3:$K$228,X11,$P$3:$P$228,"D")</f>
        <v>2</v>
      </c>
      <c r="AD11" s="64">
        <f>SUMIFS($C$3:$C$228,$G$3:$G$228,X11)+SUMIFS($O$3:$O$228,$K$3:$K$228,X11)</f>
        <v>501.26</v>
      </c>
      <c r="AE11" s="64">
        <f>SUMIFS($D$3:$D$228,$G$3:$G$228,X11)+SUMIFS($N$3:$N$228,$K$3:$K$228,X11)</f>
        <v>340.97999999999996</v>
      </c>
      <c r="AF11" s="65">
        <f>SUM(AD11-AE11)</f>
        <v>160.28000000000003</v>
      </c>
      <c r="AG11" s="22">
        <f>SUM(AD11/Z11)</f>
        <v>83.543333333333337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66</v>
      </c>
      <c r="Y12" s="65">
        <f>SUM((AA12*3)+AB12)</f>
        <v>9</v>
      </c>
      <c r="Z12" s="65">
        <f>SUM(AA12+AB12+AC12)</f>
        <v>6</v>
      </c>
      <c r="AA12" s="64">
        <f>COUNTIFS($G$3:$G$228,X12,$B$3:$B$228,"V")+COUNTIFS($K$3:$K$228,X12,$P$3:$P$228,"V")</f>
        <v>3</v>
      </c>
      <c r="AB12" s="64">
        <f>COUNTIFS($G$3:$G$228,X12,$B$3:$B$228,"E",$H$3:$H$228,"&lt;&gt;"&amp;"")+COUNTIFS($K$3:$K$228,X12,$P$3:$P$228,"E",$J$3:$J$228,"&lt;&gt;"&amp;"")</f>
        <v>0</v>
      </c>
      <c r="AC12" s="64">
        <f>COUNTIFS($G$3:$G$228,X12,$B$3:$B$228,"D")+COUNTIFS($K$3:$K$228,X12,$P$3:$P$228,"D")</f>
        <v>3</v>
      </c>
      <c r="AD12" s="64">
        <f>SUMIFS($C$3:$C$228,$G$3:$G$228,X12)+SUMIFS($O$3:$O$228,$K$3:$K$228,X12)</f>
        <v>338.88</v>
      </c>
      <c r="AE12" s="64">
        <f>SUMIFS($D$3:$D$228,$G$3:$G$228,X12)+SUMIFS($N$3:$N$228,$K$3:$K$228,X12)</f>
        <v>505.46</v>
      </c>
      <c r="AF12" s="65">
        <f>SUM(AD12-AE12)</f>
        <v>-166.57999999999998</v>
      </c>
      <c r="AG12" s="22">
        <f>SUM(AD12/Z12)</f>
        <v>56.48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78</v>
      </c>
      <c r="Y13" s="64">
        <f>SUM((AA13*3)+AB13)</f>
        <v>8</v>
      </c>
      <c r="Z13" s="64">
        <f>SUM(AA13+AB13+AC13)</f>
        <v>6</v>
      </c>
      <c r="AA13" s="64">
        <f>COUNTIFS($G$3:$G$228,X13,$B$3:$B$228,"V")+COUNTIFS($K$3:$K$228,X13,$P$3:$P$228,"V")</f>
        <v>2</v>
      </c>
      <c r="AB13" s="64">
        <f>COUNTIFS($G$3:$G$228,X13,$B$3:$B$228,"E",$H$3:$H$228,"&lt;&gt;"&amp;"")+COUNTIFS($K$3:$K$228,X13,$P$3:$P$228,"E",$J$3:$J$228,"&lt;&gt;"&amp;"")</f>
        <v>2</v>
      </c>
      <c r="AC13" s="64">
        <f>COUNTIFS($G$3:$G$228,X13,$B$3:$B$228,"D")+COUNTIFS($K$3:$K$228,X13,$P$3:$P$228,"D")</f>
        <v>2</v>
      </c>
      <c r="AD13" s="64">
        <f>SUMIFS($C$3:$C$228,$G$3:$G$228,X13)+SUMIFS($O$3:$O$228,$K$3:$K$228,X13)</f>
        <v>509.19</v>
      </c>
      <c r="AE13" s="64">
        <f>SUMIFS($D$3:$D$228,$G$3:$G$228,X13)+SUMIFS($N$3:$N$228,$K$3:$K$228,X13)</f>
        <v>373.72</v>
      </c>
      <c r="AF13" s="64">
        <f>SUM(AD13-AE13)</f>
        <v>135.46999999999997</v>
      </c>
      <c r="AG13" s="22">
        <f>SUM(AD13/Z13)</f>
        <v>84.864999999999995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85</v>
      </c>
      <c r="Y14" s="41">
        <f>SUM((AA14*3)+AB14)</f>
        <v>8</v>
      </c>
      <c r="Z14" s="41">
        <f>SUM(AA14+AB14+AC14)</f>
        <v>6</v>
      </c>
      <c r="AA14" s="41">
        <f>COUNTIFS($G$3:$G$228,X14,$B$3:$B$228,"V")+COUNTIFS($K$3:$K$228,X14,$P$3:$P$228,"V")</f>
        <v>2</v>
      </c>
      <c r="AB14" s="41">
        <f>COUNTIFS($G$3:$G$228,X14,$B$3:$B$228,"E",$H$3:$H$228,"&lt;&gt;"&amp;"")+COUNTIFS($K$3:$K$228,X14,$P$3:$P$228,"E",$J$3:$J$228,"&lt;&gt;"&amp;"")</f>
        <v>2</v>
      </c>
      <c r="AC14" s="41">
        <f>COUNTIFS($G$3:$G$228,X14,$B$3:$B$228,"D")+COUNTIFS($K$3:$K$228,X14,$P$3:$P$228,"D")</f>
        <v>2</v>
      </c>
      <c r="AD14" s="41">
        <f>SUMIFS($C$3:$C$228,$G$3:$G$228,X14)+SUMIFS($O$3:$O$228,$K$3:$K$228,X14)</f>
        <v>428.82</v>
      </c>
      <c r="AE14" s="41">
        <f>SUMIFS($D$3:$D$228,$G$3:$G$228,X14)+SUMIFS($N$3:$N$228,$K$3:$K$228,X14)</f>
        <v>435.7</v>
      </c>
      <c r="AF14" s="41">
        <f>SUM(AD14-AE14)</f>
        <v>-6.8799999999999955</v>
      </c>
      <c r="AG14" s="22">
        <f>SUM(AD14/Z14)</f>
        <v>71.47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63</v>
      </c>
      <c r="Y15" s="42">
        <f>SUM((AA15*3)+AB15)</f>
        <v>7</v>
      </c>
      <c r="Z15" s="42">
        <f>SUM(AA15+AB15+AC15)</f>
        <v>6</v>
      </c>
      <c r="AA15" s="41">
        <f>COUNTIFS($G$3:$G$228,X15,$B$3:$B$228,"V")+COUNTIFS($K$3:$K$228,X15,$P$3:$P$228,"V")</f>
        <v>2</v>
      </c>
      <c r="AB15" s="41">
        <f>COUNTIFS($G$3:$G$228,X15,$B$3:$B$228,"E",$H$3:$H$228,"&lt;&gt;"&amp;"")+COUNTIFS($K$3:$K$228,X15,$P$3:$P$228,"E",$J$3:$J$228,"&lt;&gt;"&amp;"")</f>
        <v>1</v>
      </c>
      <c r="AC15" s="41">
        <f>COUNTIFS($G$3:$G$228,X15,$B$3:$B$228,"D")+COUNTIFS($K$3:$K$228,X15,$P$3:$P$228,"D")</f>
        <v>3</v>
      </c>
      <c r="AD15" s="41">
        <f>SUMIFS($C$3:$C$228,$G$3:$G$228,X15)+SUMIFS($O$3:$O$228,$K$3:$K$228,X15)</f>
        <v>445.51</v>
      </c>
      <c r="AE15" s="41">
        <f>SUMIFS($D$3:$D$228,$G$3:$G$228,X15)+SUMIFS($N$3:$N$228,$K$3:$K$228,X15)</f>
        <v>404.38</v>
      </c>
      <c r="AF15" s="65">
        <f>SUM(AD15-AE15)</f>
        <v>41.129999999999995</v>
      </c>
      <c r="AG15" s="22">
        <f>SUM(AD15/Z15)</f>
        <v>74.251666666666665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88</v>
      </c>
      <c r="Y16" s="64">
        <f>SUM((AA16*3)+AB16)</f>
        <v>7</v>
      </c>
      <c r="Z16" s="64">
        <f>SUM(AA16+AB16+AC16)</f>
        <v>6</v>
      </c>
      <c r="AA16" s="64">
        <f>COUNTIFS($G$3:$G$228,X16,$B$3:$B$228,"V")+COUNTIFS($K$3:$K$228,X16,$P$3:$P$228,"V")</f>
        <v>2</v>
      </c>
      <c r="AB16" s="64">
        <f>COUNTIFS($G$3:$G$228,X16,$B$3:$B$228,"E",$H$3:$H$228,"&lt;&gt;"&amp;"")+COUNTIFS($K$3:$K$228,X16,$P$3:$P$228,"E",$J$3:$J$228,"&lt;&gt;"&amp;"")</f>
        <v>1</v>
      </c>
      <c r="AC16" s="64">
        <f>COUNTIFS($G$3:$G$228,X16,$B$3:$B$228,"D")+COUNTIFS($K$3:$K$228,X16,$P$3:$P$228,"D")</f>
        <v>3</v>
      </c>
      <c r="AD16" s="64">
        <f>SUMIFS($C$3:$C$228,$G$3:$G$228,X16)+SUMIFS($O$3:$O$228,$K$3:$K$228,X16)</f>
        <v>527.07999999999993</v>
      </c>
      <c r="AE16" s="64">
        <f>SUMIFS($D$3:$D$228,$G$3:$G$228,X16)+SUMIFS($N$3:$N$228,$K$3:$K$228,X16)</f>
        <v>547.49</v>
      </c>
      <c r="AF16" s="64">
        <f>SUM(AD16-AE16)</f>
        <v>-20.410000000000082</v>
      </c>
      <c r="AG16" s="22">
        <f>SUM(AD16/Z16)</f>
        <v>87.84666666666665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93</v>
      </c>
      <c r="Y17" s="41">
        <f>SUM((AA17*3)+AB17)</f>
        <v>6</v>
      </c>
      <c r="Z17" s="41">
        <f>SUM(AA17+AB17+AC17)</f>
        <v>6</v>
      </c>
      <c r="AA17" s="41">
        <f>COUNTIFS($G$3:$G$228,X17,$B$3:$B$228,"V")+COUNTIFS($K$3:$K$228,X17,$P$3:$P$228,"V")</f>
        <v>1</v>
      </c>
      <c r="AB17" s="41">
        <f>COUNTIFS($G$3:$G$228,X17,$B$3:$B$228,"E",$H$3:$H$228,"&lt;&gt;"&amp;"")+COUNTIFS($K$3:$K$228,X17,$P$3:$P$228,"E",$J$3:$J$228,"&lt;&gt;"&amp;"")</f>
        <v>3</v>
      </c>
      <c r="AC17" s="41">
        <f>COUNTIFS($G$3:$G$228,X17,$B$3:$B$228,"D")+COUNTIFS($K$3:$K$228,X17,$P$3:$P$228,"D")</f>
        <v>2</v>
      </c>
      <c r="AD17" s="41">
        <f>SUMIFS($C$3:$C$228,$G$3:$G$228,X17)+SUMIFS($O$3:$O$228,$K$3:$K$228,X17)</f>
        <v>551.21</v>
      </c>
      <c r="AE17" s="41">
        <f>SUMIFS($D$3:$D$228,$G$3:$G$228,X17)+SUMIFS($N$3:$N$228,$K$3:$K$228,X17)</f>
        <v>553.78</v>
      </c>
      <c r="AF17" s="41">
        <f>SUM(AD17-AE17)</f>
        <v>-2.5699999999999363</v>
      </c>
      <c r="AG17" s="22">
        <f>SUM(AD17/Z17)</f>
        <v>91.868333333333339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7" t="s">
        <v>91</v>
      </c>
      <c r="Y18" s="41">
        <f>SUM((AA18*3)+AB18)</f>
        <v>4</v>
      </c>
      <c r="Z18" s="41">
        <f>SUM(AA18+AB18+AC18)</f>
        <v>6</v>
      </c>
      <c r="AA18" s="41">
        <f>COUNTIFS($G$3:$G$228,X18,$B$3:$B$228,"V")+COUNTIFS($K$3:$K$228,X18,$P$3:$P$228,"V")</f>
        <v>1</v>
      </c>
      <c r="AB18" s="41">
        <f>COUNTIFS($G$3:$G$228,X18,$B$3:$B$228,"E",$H$3:$H$228,"&lt;&gt;"&amp;"")+COUNTIFS($K$3:$K$228,X18,$P$3:$P$228,"E",$J$3:$J$228,"&lt;&gt;"&amp;"")</f>
        <v>1</v>
      </c>
      <c r="AC18" s="41">
        <f>COUNTIFS($G$3:$G$228,X18,$B$3:$B$228,"D")+COUNTIFS($K$3:$K$228,X18,$P$3:$P$228,"D")</f>
        <v>4</v>
      </c>
      <c r="AD18" s="41">
        <f>SUMIFS($C$3:$C$228,$G$3:$G$228,X18)+SUMIFS($O$3:$O$228,$K$3:$K$228,X18)</f>
        <v>410.77</v>
      </c>
      <c r="AE18" s="41">
        <f>SUMIFS($D$3:$D$228,$G$3:$G$228,X18)+SUMIFS($N$3:$N$228,$K$3:$K$228,X18)</f>
        <v>557.53</v>
      </c>
      <c r="AF18" s="41">
        <f>SUM(AD18-AE18)</f>
        <v>-146.76</v>
      </c>
      <c r="AG18" s="22">
        <f>SUM(AD18/Z18)</f>
        <v>68.461666666666659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7" t="s">
        <v>89</v>
      </c>
      <c r="Y19" s="64">
        <f>SUM((AA19*3)+AB19)</f>
        <v>3</v>
      </c>
      <c r="Z19" s="64">
        <f>SUM(AA19+AB19+AC19)</f>
        <v>6</v>
      </c>
      <c r="AA19" s="64">
        <f>COUNTIFS($G$3:$G$228,X19,$B$3:$B$228,"V")+COUNTIFS($K$3:$K$228,X19,$P$3:$P$228,"V")</f>
        <v>1</v>
      </c>
      <c r="AB19" s="64">
        <f>COUNTIFS($G$3:$G$228,X19,$B$3:$B$228,"E",$H$3:$H$228,"&lt;&gt;"&amp;"")+COUNTIFS($K$3:$K$228,X19,$P$3:$P$228,"E",$J$3:$J$228,"&lt;&gt;"&amp;"")</f>
        <v>0</v>
      </c>
      <c r="AC19" s="64">
        <f>COUNTIFS($G$3:$G$228,X19,$B$3:$B$228,"D")+COUNTIFS($K$3:$K$228,X19,$P$3:$P$228,"D")</f>
        <v>5</v>
      </c>
      <c r="AD19" s="64">
        <f>SUMIFS($C$3:$C$228,$G$3:$G$228,X19)+SUMIFS($O$3:$O$228,$K$3:$K$228,X19)</f>
        <v>308.06</v>
      </c>
      <c r="AE19" s="64">
        <f>SUMIFS($D$3:$D$228,$G$3:$G$228,X19)+SUMIFS($N$3:$N$228,$K$3:$K$228,X19)</f>
        <v>525.96</v>
      </c>
      <c r="AF19" s="64">
        <f>SUM(AD19-AE19)</f>
        <v>-217.90000000000003</v>
      </c>
      <c r="AG19" s="22">
        <f>SUM(AD19/Z19)</f>
        <v>51.343333333333334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61</v>
      </c>
      <c r="Y20" s="42">
        <f>SUM((AA20*3)+AB20)</f>
        <v>2</v>
      </c>
      <c r="Z20" s="42">
        <f>SUM(AA20+AB20+AC20)</f>
        <v>6</v>
      </c>
      <c r="AA20" s="41">
        <f>COUNTIFS($G$3:$G$228,X20,$B$3:$B$228,"V")+COUNTIFS($K$3:$K$228,X20,$P$3:$P$228,"V")</f>
        <v>0</v>
      </c>
      <c r="AB20" s="41">
        <f>COUNTIFS($G$3:$G$228,X20,$B$3:$B$228,"E",$H$3:$H$228,"&lt;&gt;"&amp;"")+COUNTIFS($K$3:$K$228,X20,$P$3:$P$228,"E",$J$3:$J$228,"&lt;&gt;"&amp;"")</f>
        <v>2</v>
      </c>
      <c r="AC20" s="41">
        <f>COUNTIFS($G$3:$G$228,X20,$B$3:$B$228,"D")+COUNTIFS($K$3:$K$228,X20,$P$3:$P$228,"D")</f>
        <v>4</v>
      </c>
      <c r="AD20" s="41">
        <f>SUMIFS($C$3:$C$228,$G$3:$G$228,X20)+SUMIFS($O$3:$O$228,$K$3:$K$228,X20)</f>
        <v>353.38</v>
      </c>
      <c r="AE20" s="41">
        <f>SUMIFS($D$3:$D$228,$G$3:$G$228,X20)+SUMIFS($N$3:$N$228,$K$3:$K$228,X20)</f>
        <v>501.79999999999995</v>
      </c>
      <c r="AF20" s="42">
        <f>SUM(AD20-AE20)</f>
        <v>-148.41999999999996</v>
      </c>
      <c r="AG20" s="22">
        <f>SUM(AD20/Z20)</f>
        <v>58.896666666666668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48" t="s">
        <v>71</v>
      </c>
      <c r="Y21" s="41">
        <f>SUM((AA21*3)+AB21)</f>
        <v>2</v>
      </c>
      <c r="Z21" s="41">
        <f>SUM(AA21+AB21+AC21)</f>
        <v>6</v>
      </c>
      <c r="AA21" s="41">
        <f>COUNTIFS($G$3:$G$228,X21,$B$3:$B$228,"V")+COUNTIFS($K$3:$K$228,X21,$P$3:$P$228,"V")</f>
        <v>0</v>
      </c>
      <c r="AB21" s="41">
        <f>COUNTIFS($G$3:$G$228,X21,$B$3:$B$228,"E",$H$3:$H$228,"&lt;&gt;"&amp;"")+COUNTIFS($K$3:$K$228,X21,$P$3:$P$228,"E",$J$3:$J$228,"&lt;&gt;"&amp;"")</f>
        <v>2</v>
      </c>
      <c r="AC21" s="41">
        <f>COUNTIFS($G$3:$G$228,X21,$B$3:$B$228,"D")+COUNTIFS($K$3:$K$228,X21,$P$3:$P$228,"D")</f>
        <v>4</v>
      </c>
      <c r="AD21" s="41">
        <f>SUMIFS($C$3:$C$228,$G$3:$G$228,X21)+SUMIFS($O$3:$O$228,$K$3:$K$228,X21)</f>
        <v>201.27999999999997</v>
      </c>
      <c r="AE21" s="41">
        <f>SUMIFS($D$3:$D$228,$G$3:$G$228,X21)+SUMIFS($N$3:$N$228,$K$3:$K$228,X21)</f>
        <v>453.16999999999996</v>
      </c>
      <c r="AF21" s="41">
        <f>SUM(AD21-AE21)</f>
        <v>-251.89</v>
      </c>
      <c r="AG21" s="22">
        <f>SUM(AD21/Z21)</f>
        <v>33.54666666666666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0</v>
      </c>
      <c r="Z22" s="46">
        <f>SUM(AA22+AB22+AC22)</f>
        <v>6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0</v>
      </c>
      <c r="AC22" s="46">
        <f>COUNTIFS($G$3:$G$228,X22,$B$3:$B$228,"D")+COUNTIFS($K$3:$K$228,X22,$P$3:$P$228,"D")</f>
        <v>6</v>
      </c>
      <c r="AD22" s="46">
        <f>SUMIFS($C$3:$C$228,$G$3:$G$228,X22)+SUMIFS($O$3:$O$228,$K$3:$K$228,X22)</f>
        <v>116.25999999999999</v>
      </c>
      <c r="AE22" s="46">
        <f>SUMIFS($D$3:$D$228,$G$3:$G$228,X22)+SUMIFS($N$3:$N$228,$K$3:$K$228,X22)</f>
        <v>532.03</v>
      </c>
      <c r="AF22" s="46">
        <f>SUM(AD22-AE22)</f>
        <v>-415.77</v>
      </c>
      <c r="AG22" s="23">
        <f>SUM(AD22/Z22)</f>
        <v>19.376666666666665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0</v>
      </c>
      <c r="B75" s="5" t="str">
        <f t="shared" si="8"/>
        <v>E</v>
      </c>
      <c r="C75" s="5">
        <f t="shared" si="10"/>
        <v>0</v>
      </c>
      <c r="D75" s="5">
        <f t="shared" si="11"/>
        <v>0</v>
      </c>
      <c r="E75" s="4"/>
      <c r="F75" s="50" t="s">
        <v>82</v>
      </c>
      <c r="G75" s="2" t="s">
        <v>81</v>
      </c>
      <c r="H75" s="2"/>
      <c r="I75" s="1" t="s">
        <v>52</v>
      </c>
      <c r="J75" s="2"/>
      <c r="K75" s="2" t="s">
        <v>97</v>
      </c>
      <c r="L75" s="50" t="s">
        <v>98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27"/>
    </row>
    <row r="76" spans="1:24" ht="17.25" customHeight="1" x14ac:dyDescent="0.25">
      <c r="A76" s="5">
        <f t="shared" si="9"/>
        <v>0</v>
      </c>
      <c r="B76" s="5" t="str">
        <f t="shared" si="8"/>
        <v>E</v>
      </c>
      <c r="C76" s="5">
        <f t="shared" si="10"/>
        <v>0</v>
      </c>
      <c r="D76" s="5">
        <f t="shared" si="11"/>
        <v>0</v>
      </c>
      <c r="E76" s="4"/>
      <c r="F76" s="50" t="s">
        <v>87</v>
      </c>
      <c r="G76" s="2" t="s">
        <v>86</v>
      </c>
      <c r="H76" s="2"/>
      <c r="I76" s="1" t="s">
        <v>52</v>
      </c>
      <c r="J76" s="2"/>
      <c r="K76" s="2" t="s">
        <v>61</v>
      </c>
      <c r="L76" s="50" t="s">
        <v>62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27"/>
    </row>
    <row r="77" spans="1:24" ht="17.25" customHeight="1" x14ac:dyDescent="0.25">
      <c r="A77" s="5">
        <f t="shared" si="9"/>
        <v>0</v>
      </c>
      <c r="B77" s="5" t="str">
        <f t="shared" si="8"/>
        <v>E</v>
      </c>
      <c r="C77" s="5">
        <f t="shared" si="10"/>
        <v>0</v>
      </c>
      <c r="D77" s="5">
        <f t="shared" si="11"/>
        <v>0</v>
      </c>
      <c r="E77" s="4"/>
      <c r="F77" s="50" t="s">
        <v>65</v>
      </c>
      <c r="G77" s="2" t="s">
        <v>60</v>
      </c>
      <c r="H77" s="2"/>
      <c r="I77" s="1" t="s">
        <v>52</v>
      </c>
      <c r="J77" s="2"/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27"/>
    </row>
    <row r="78" spans="1:24" ht="17.25" customHeight="1" x14ac:dyDescent="0.25">
      <c r="A78" s="5">
        <f t="shared" si="9"/>
        <v>0</v>
      </c>
      <c r="B78" s="5" t="str">
        <f t="shared" si="8"/>
        <v>E</v>
      </c>
      <c r="C78" s="5">
        <f t="shared" si="10"/>
        <v>0</v>
      </c>
      <c r="D78" s="5">
        <f t="shared" si="11"/>
        <v>0</v>
      </c>
      <c r="E78" s="4"/>
      <c r="F78" s="50" t="s">
        <v>77</v>
      </c>
      <c r="G78" s="2" t="s">
        <v>78</v>
      </c>
      <c r="H78" s="2"/>
      <c r="I78" s="1" t="s">
        <v>52</v>
      </c>
      <c r="J78" s="2"/>
      <c r="K78" s="2" t="s">
        <v>99</v>
      </c>
      <c r="L78" s="50" t="s">
        <v>100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27"/>
    </row>
    <row r="79" spans="1:24" ht="17.25" customHeight="1" x14ac:dyDescent="0.25">
      <c r="A79" s="5">
        <f t="shared" si="9"/>
        <v>0</v>
      </c>
      <c r="B79" s="5" t="str">
        <f t="shared" ref="B79:B142" si="16">_xlfn.IFS(A79&gt;=5,"V",A79&lt;=-5,"D",A79&lt;=-4.99,"E",A79&lt;=4.99,"E")</f>
        <v>E</v>
      </c>
      <c r="C79" s="5">
        <f t="shared" si="10"/>
        <v>0</v>
      </c>
      <c r="D79" s="5">
        <f t="shared" si="11"/>
        <v>0</v>
      </c>
      <c r="E79" s="4"/>
      <c r="F79" s="50" t="s">
        <v>74</v>
      </c>
      <c r="G79" s="2" t="s">
        <v>71</v>
      </c>
      <c r="H79" s="2"/>
      <c r="I79" s="1" t="s">
        <v>52</v>
      </c>
      <c r="J79" s="2"/>
      <c r="K79" s="2" t="s">
        <v>89</v>
      </c>
      <c r="L79" s="50" t="s">
        <v>90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28"/>
    </row>
    <row r="80" spans="1:24" ht="17.25" customHeight="1" x14ac:dyDescent="0.25">
      <c r="A80" s="5">
        <f t="shared" si="9"/>
        <v>0</v>
      </c>
      <c r="B80" s="5" t="str">
        <f t="shared" si="16"/>
        <v>E</v>
      </c>
      <c r="C80" s="5">
        <f t="shared" si="10"/>
        <v>0</v>
      </c>
      <c r="D80" s="5">
        <f t="shared" si="11"/>
        <v>0</v>
      </c>
      <c r="E80" s="4"/>
      <c r="F80" s="50" t="s">
        <v>92</v>
      </c>
      <c r="G80" s="2" t="s">
        <v>91</v>
      </c>
      <c r="H80" s="2"/>
      <c r="I80" s="1" t="s">
        <v>52</v>
      </c>
      <c r="J80" s="2"/>
      <c r="K80" s="2" t="s">
        <v>69</v>
      </c>
      <c r="L80" s="50" t="s">
        <v>72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27"/>
    </row>
    <row r="81" spans="1:34" ht="17.25" customHeight="1" x14ac:dyDescent="0.25">
      <c r="A81" s="5">
        <f t="shared" si="9"/>
        <v>0</v>
      </c>
      <c r="B81" s="5" t="str">
        <f t="shared" si="16"/>
        <v>E</v>
      </c>
      <c r="C81" s="5">
        <f t="shared" si="10"/>
        <v>0</v>
      </c>
      <c r="D81" s="5">
        <f t="shared" si="11"/>
        <v>0</v>
      </c>
      <c r="E81" s="4"/>
      <c r="F81" s="50" t="s">
        <v>96</v>
      </c>
      <c r="G81" s="2" t="s">
        <v>95</v>
      </c>
      <c r="H81" s="2"/>
      <c r="I81" s="1" t="s">
        <v>52</v>
      </c>
      <c r="J81" s="2"/>
      <c r="K81" s="2" t="s">
        <v>85</v>
      </c>
      <c r="L81" s="50" t="s">
        <v>84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27"/>
    </row>
    <row r="82" spans="1:34" ht="17.25" customHeight="1" x14ac:dyDescent="0.25">
      <c r="A82" s="5">
        <f t="shared" si="9"/>
        <v>0</v>
      </c>
      <c r="B82" s="5" t="str">
        <f t="shared" si="16"/>
        <v>E</v>
      </c>
      <c r="C82" s="5">
        <f t="shared" si="10"/>
        <v>0</v>
      </c>
      <c r="D82" s="5">
        <f t="shared" si="11"/>
        <v>0</v>
      </c>
      <c r="E82" s="4"/>
      <c r="F82" s="50" t="s">
        <v>76</v>
      </c>
      <c r="G82" s="2" t="s">
        <v>83</v>
      </c>
      <c r="H82" s="2"/>
      <c r="I82" s="1" t="s">
        <v>52</v>
      </c>
      <c r="J82" s="2"/>
      <c r="K82" s="2" t="s">
        <v>66</v>
      </c>
      <c r="L82" s="50" t="s">
        <v>67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27"/>
    </row>
    <row r="83" spans="1:34" ht="17.25" customHeight="1" x14ac:dyDescent="0.25">
      <c r="A83" s="5">
        <f t="shared" si="9"/>
        <v>0</v>
      </c>
      <c r="B83" s="5" t="str">
        <f t="shared" si="16"/>
        <v>E</v>
      </c>
      <c r="C83" s="5">
        <f t="shared" si="10"/>
        <v>0</v>
      </c>
      <c r="D83" s="5">
        <f t="shared" si="11"/>
        <v>0</v>
      </c>
      <c r="E83" s="4"/>
      <c r="F83" s="50" t="s">
        <v>73</v>
      </c>
      <c r="G83" s="2" t="s">
        <v>70</v>
      </c>
      <c r="H83" s="2"/>
      <c r="I83" s="1" t="s">
        <v>52</v>
      </c>
      <c r="J83" s="2"/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27"/>
    </row>
    <row r="84" spans="1:34" ht="17.25" customHeight="1" x14ac:dyDescent="0.25">
      <c r="A84" s="5">
        <f t="shared" si="9"/>
        <v>0</v>
      </c>
      <c r="B84" s="5" t="str">
        <f t="shared" si="16"/>
        <v>E</v>
      </c>
      <c r="C84" s="5">
        <f t="shared" si="10"/>
        <v>0</v>
      </c>
      <c r="D84" s="5">
        <f t="shared" si="11"/>
        <v>0</v>
      </c>
      <c r="E84" s="4"/>
      <c r="F84" s="50" t="s">
        <v>80</v>
      </c>
      <c r="G84" s="2" t="s">
        <v>79</v>
      </c>
      <c r="H84" s="2"/>
      <c r="I84" s="1" t="s">
        <v>52</v>
      </c>
      <c r="J84" s="2"/>
      <c r="K84" s="2" t="s">
        <v>93</v>
      </c>
      <c r="L84" s="50" t="s">
        <v>94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0</v>
      </c>
      <c r="B87" s="5" t="str">
        <f t="shared" si="16"/>
        <v>E</v>
      </c>
      <c r="C87" s="5">
        <f t="shared" si="10"/>
        <v>0</v>
      </c>
      <c r="D87" s="5">
        <f t="shared" si="11"/>
        <v>0</v>
      </c>
      <c r="E87" s="4"/>
      <c r="F87" s="50" t="s">
        <v>84</v>
      </c>
      <c r="G87" s="2" t="s">
        <v>85</v>
      </c>
      <c r="H87" s="2"/>
      <c r="I87" s="1" t="s">
        <v>52</v>
      </c>
      <c r="J87" s="2"/>
      <c r="K87" s="2" t="s">
        <v>88</v>
      </c>
      <c r="L87" s="50" t="s">
        <v>75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0</v>
      </c>
      <c r="B88" s="5" t="str">
        <f t="shared" si="16"/>
        <v>E</v>
      </c>
      <c r="C88" s="5">
        <f t="shared" si="10"/>
        <v>0</v>
      </c>
      <c r="D88" s="5">
        <f t="shared" si="11"/>
        <v>0</v>
      </c>
      <c r="E88" s="4"/>
      <c r="F88" s="50" t="s">
        <v>100</v>
      </c>
      <c r="G88" s="2" t="s">
        <v>99</v>
      </c>
      <c r="H88" s="2"/>
      <c r="I88" s="1" t="s">
        <v>52</v>
      </c>
      <c r="J88" s="2"/>
      <c r="K88" s="2" t="s">
        <v>83</v>
      </c>
      <c r="L88" s="50" t="s">
        <v>76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0</v>
      </c>
      <c r="B89" s="5" t="str">
        <f t="shared" si="16"/>
        <v>E</v>
      </c>
      <c r="C89" s="5">
        <f t="shared" si="10"/>
        <v>0</v>
      </c>
      <c r="D89" s="5">
        <f t="shared" si="11"/>
        <v>0</v>
      </c>
      <c r="E89" s="4"/>
      <c r="F89" s="50" t="s">
        <v>90</v>
      </c>
      <c r="G89" s="2" t="s">
        <v>89</v>
      </c>
      <c r="H89" s="2"/>
      <c r="I89" s="1" t="s">
        <v>52</v>
      </c>
      <c r="J89" s="2"/>
      <c r="K89" s="2" t="s">
        <v>81</v>
      </c>
      <c r="L89" s="50" t="s">
        <v>82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0</v>
      </c>
      <c r="B90" s="5" t="str">
        <f t="shared" si="16"/>
        <v>E</v>
      </c>
      <c r="C90" s="5">
        <f t="shared" si="10"/>
        <v>0</v>
      </c>
      <c r="D90" s="5">
        <f t="shared" si="11"/>
        <v>0</v>
      </c>
      <c r="E90" s="4"/>
      <c r="F90" s="50" t="s">
        <v>67</v>
      </c>
      <c r="G90" s="2" t="s">
        <v>66</v>
      </c>
      <c r="H90" s="2"/>
      <c r="I90" s="1" t="s">
        <v>52</v>
      </c>
      <c r="J90" s="2"/>
      <c r="K90" s="2" t="s">
        <v>60</v>
      </c>
      <c r="L90" s="50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0</v>
      </c>
      <c r="B91" s="5" t="str">
        <f t="shared" si="16"/>
        <v>E</v>
      </c>
      <c r="C91" s="5">
        <f t="shared" si="10"/>
        <v>0</v>
      </c>
      <c r="D91" s="5">
        <f t="shared" si="11"/>
        <v>0</v>
      </c>
      <c r="E91" s="4"/>
      <c r="F91" s="50" t="s">
        <v>94</v>
      </c>
      <c r="G91" s="2" t="s">
        <v>93</v>
      </c>
      <c r="H91" s="2"/>
      <c r="I91" s="1" t="s">
        <v>52</v>
      </c>
      <c r="J91" s="2"/>
      <c r="K91" s="2" t="s">
        <v>86</v>
      </c>
      <c r="L91" s="50" t="s">
        <v>87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0</v>
      </c>
      <c r="B92" s="5" t="str">
        <f t="shared" si="16"/>
        <v>E</v>
      </c>
      <c r="C92" s="5">
        <f t="shared" si="10"/>
        <v>0</v>
      </c>
      <c r="D92" s="5">
        <f t="shared" si="11"/>
        <v>0</v>
      </c>
      <c r="E92" s="4"/>
      <c r="F92" s="50" t="s">
        <v>64</v>
      </c>
      <c r="G92" s="2" t="s">
        <v>63</v>
      </c>
      <c r="H92" s="2"/>
      <c r="I92" s="1" t="s">
        <v>52</v>
      </c>
      <c r="J92" s="2"/>
      <c r="K92" s="2" t="s">
        <v>95</v>
      </c>
      <c r="L92" s="50" t="s">
        <v>96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0</v>
      </c>
      <c r="B93" s="5" t="str">
        <f t="shared" si="16"/>
        <v>E</v>
      </c>
      <c r="C93" s="5">
        <f t="shared" si="10"/>
        <v>0</v>
      </c>
      <c r="D93" s="5">
        <f t="shared" si="11"/>
        <v>0</v>
      </c>
      <c r="E93" s="4"/>
      <c r="F93" s="50" t="s">
        <v>72</v>
      </c>
      <c r="G93" s="2" t="s">
        <v>69</v>
      </c>
      <c r="H93" s="2"/>
      <c r="I93" s="1" t="s">
        <v>52</v>
      </c>
      <c r="J93" s="2"/>
      <c r="K93" s="2" t="s">
        <v>79</v>
      </c>
      <c r="L93" s="50" t="s">
        <v>80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0</v>
      </c>
      <c r="B94" s="5" t="str">
        <f t="shared" si="16"/>
        <v>E</v>
      </c>
      <c r="C94" s="5">
        <f t="shared" si="10"/>
        <v>0</v>
      </c>
      <c r="D94" s="5">
        <f t="shared" si="11"/>
        <v>0</v>
      </c>
      <c r="E94" s="4"/>
      <c r="F94" s="50" t="s">
        <v>62</v>
      </c>
      <c r="G94" s="2" t="s">
        <v>61</v>
      </c>
      <c r="H94" s="2"/>
      <c r="I94" s="1" t="s">
        <v>52</v>
      </c>
      <c r="J94" s="2"/>
      <c r="K94" s="2" t="s">
        <v>71</v>
      </c>
      <c r="L94" s="50" t="s">
        <v>74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0</v>
      </c>
      <c r="B95" s="5" t="str">
        <f t="shared" si="16"/>
        <v>E</v>
      </c>
      <c r="C95" s="5">
        <f t="shared" si="10"/>
        <v>0</v>
      </c>
      <c r="D95" s="5">
        <f t="shared" si="11"/>
        <v>0</v>
      </c>
      <c r="E95" s="4"/>
      <c r="F95" s="50" t="s">
        <v>73</v>
      </c>
      <c r="G95" s="2" t="s">
        <v>70</v>
      </c>
      <c r="H95" s="2"/>
      <c r="I95" s="1" t="s">
        <v>52</v>
      </c>
      <c r="J95" s="2"/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0</v>
      </c>
      <c r="B96" s="5" t="str">
        <f t="shared" si="16"/>
        <v>E</v>
      </c>
      <c r="C96" s="5">
        <f t="shared" si="10"/>
        <v>0</v>
      </c>
      <c r="D96" s="5">
        <f t="shared" si="11"/>
        <v>0</v>
      </c>
      <c r="E96" s="4"/>
      <c r="F96" s="50" t="s">
        <v>98</v>
      </c>
      <c r="G96" s="2" t="s">
        <v>97</v>
      </c>
      <c r="H96" s="2"/>
      <c r="I96" s="1" t="s">
        <v>52</v>
      </c>
      <c r="J96" s="2"/>
      <c r="K96" s="2" t="s">
        <v>91</v>
      </c>
      <c r="L96" s="50" t="s">
        <v>92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0</v>
      </c>
      <c r="B99" s="5" t="str">
        <f t="shared" si="16"/>
        <v>E</v>
      </c>
      <c r="C99" s="5">
        <f t="shared" si="10"/>
        <v>0</v>
      </c>
      <c r="D99" s="5">
        <f t="shared" si="11"/>
        <v>0</v>
      </c>
      <c r="E99" s="4"/>
      <c r="F99" s="50" t="s">
        <v>82</v>
      </c>
      <c r="G99" s="2" t="s">
        <v>81</v>
      </c>
      <c r="H99" s="2"/>
      <c r="I99" s="1" t="s">
        <v>52</v>
      </c>
      <c r="J99" s="2"/>
      <c r="K99" s="2" t="s">
        <v>85</v>
      </c>
      <c r="L99" s="50" t="s">
        <v>84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0</v>
      </c>
      <c r="B100" s="5" t="str">
        <f t="shared" si="16"/>
        <v>E</v>
      </c>
      <c r="C100" s="5">
        <f t="shared" si="10"/>
        <v>0</v>
      </c>
      <c r="D100" s="5">
        <f t="shared" si="11"/>
        <v>0</v>
      </c>
      <c r="E100" s="4"/>
      <c r="F100" s="50" t="s">
        <v>100</v>
      </c>
      <c r="G100" s="2" t="s">
        <v>99</v>
      </c>
      <c r="H100" s="2"/>
      <c r="I100" s="1" t="s">
        <v>52</v>
      </c>
      <c r="J100" s="2"/>
      <c r="K100" s="2" t="s">
        <v>97</v>
      </c>
      <c r="L100" s="50" t="s">
        <v>98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0</v>
      </c>
      <c r="B101" s="5" t="str">
        <f t="shared" si="16"/>
        <v>E</v>
      </c>
      <c r="C101" s="5">
        <f t="shared" si="10"/>
        <v>0</v>
      </c>
      <c r="D101" s="5">
        <f t="shared" si="11"/>
        <v>0</v>
      </c>
      <c r="E101" s="4"/>
      <c r="F101" s="50" t="s">
        <v>90</v>
      </c>
      <c r="G101" s="2" t="s">
        <v>89</v>
      </c>
      <c r="H101" s="2"/>
      <c r="I101" s="1" t="s">
        <v>52</v>
      </c>
      <c r="J101" s="2"/>
      <c r="K101" s="2" t="s">
        <v>66</v>
      </c>
      <c r="L101" s="50" t="s">
        <v>67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0</v>
      </c>
      <c r="B102" s="5" t="str">
        <f t="shared" si="16"/>
        <v>E</v>
      </c>
      <c r="C102" s="5">
        <f t="shared" si="10"/>
        <v>0</v>
      </c>
      <c r="D102" s="5">
        <f t="shared" si="11"/>
        <v>0</v>
      </c>
      <c r="E102" s="4"/>
      <c r="F102" s="50" t="s">
        <v>77</v>
      </c>
      <c r="G102" s="2" t="s">
        <v>78</v>
      </c>
      <c r="H102" s="2"/>
      <c r="I102" s="1" t="s">
        <v>52</v>
      </c>
      <c r="J102" s="2"/>
      <c r="K102" s="2" t="s">
        <v>71</v>
      </c>
      <c r="L102" s="50" t="s">
        <v>74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0</v>
      </c>
      <c r="B103" s="5" t="str">
        <f t="shared" si="16"/>
        <v>E</v>
      </c>
      <c r="C103" s="5">
        <f t="shared" si="10"/>
        <v>0</v>
      </c>
      <c r="D103" s="5">
        <f t="shared" si="11"/>
        <v>0</v>
      </c>
      <c r="E103" s="4"/>
      <c r="F103" s="50" t="s">
        <v>94</v>
      </c>
      <c r="G103" s="2" t="s">
        <v>93</v>
      </c>
      <c r="H103" s="2"/>
      <c r="I103" s="1" t="s">
        <v>52</v>
      </c>
      <c r="J103" s="2"/>
      <c r="K103" s="2" t="s">
        <v>60</v>
      </c>
      <c r="L103" s="50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0</v>
      </c>
      <c r="B104" s="5" t="str">
        <f t="shared" si="16"/>
        <v>E</v>
      </c>
      <c r="C104" s="5">
        <f t="shared" si="10"/>
        <v>0</v>
      </c>
      <c r="D104" s="5">
        <f t="shared" si="11"/>
        <v>0</v>
      </c>
      <c r="E104" s="4"/>
      <c r="F104" s="50" t="s">
        <v>64</v>
      </c>
      <c r="G104" s="2" t="s">
        <v>63</v>
      </c>
      <c r="H104" s="2"/>
      <c r="I104" s="1" t="s">
        <v>52</v>
      </c>
      <c r="J104" s="2"/>
      <c r="K104" s="2" t="s">
        <v>70</v>
      </c>
      <c r="L104" s="50" t="s">
        <v>73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0</v>
      </c>
      <c r="B105" s="5" t="str">
        <f t="shared" si="16"/>
        <v>E</v>
      </c>
      <c r="C105" s="5">
        <f t="shared" si="10"/>
        <v>0</v>
      </c>
      <c r="D105" s="5">
        <f t="shared" si="11"/>
        <v>0</v>
      </c>
      <c r="E105" s="4"/>
      <c r="F105" s="50" t="s">
        <v>96</v>
      </c>
      <c r="G105" s="2" t="s">
        <v>95</v>
      </c>
      <c r="H105" s="2"/>
      <c r="I105" s="1" t="s">
        <v>52</v>
      </c>
      <c r="J105" s="2"/>
      <c r="K105" s="2" t="s">
        <v>91</v>
      </c>
      <c r="L105" s="50" t="s">
        <v>92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0</v>
      </c>
      <c r="B106" s="5" t="str">
        <f t="shared" si="16"/>
        <v>E</v>
      </c>
      <c r="C106" s="5">
        <f t="shared" si="10"/>
        <v>0</v>
      </c>
      <c r="D106" s="5">
        <f t="shared" si="11"/>
        <v>0</v>
      </c>
      <c r="E106" s="4"/>
      <c r="F106" s="50" t="s">
        <v>76</v>
      </c>
      <c r="G106" s="2" t="s">
        <v>83</v>
      </c>
      <c r="H106" s="2"/>
      <c r="I106" s="1" t="s">
        <v>52</v>
      </c>
      <c r="J106" s="2"/>
      <c r="K106" s="2" t="s">
        <v>86</v>
      </c>
      <c r="L106" s="50" t="s">
        <v>87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34" ht="17.25" customHeight="1" x14ac:dyDescent="0.25">
      <c r="A107" s="5">
        <f t="shared" si="9"/>
        <v>0</v>
      </c>
      <c r="B107" s="5" t="str">
        <f t="shared" si="16"/>
        <v>E</v>
      </c>
      <c r="C107" s="5">
        <f t="shared" si="10"/>
        <v>0</v>
      </c>
      <c r="D107" s="5">
        <f t="shared" si="11"/>
        <v>0</v>
      </c>
      <c r="E107" s="4"/>
      <c r="F107" s="50" t="s">
        <v>75</v>
      </c>
      <c r="G107" s="2" t="s">
        <v>88</v>
      </c>
      <c r="H107" s="2"/>
      <c r="I107" s="1" t="s">
        <v>52</v>
      </c>
      <c r="J107" s="2"/>
      <c r="K107" s="2" t="s">
        <v>69</v>
      </c>
      <c r="L107" s="50" t="s">
        <v>72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34" ht="17.25" customHeight="1" x14ac:dyDescent="0.25">
      <c r="A108" s="5">
        <f t="shared" si="9"/>
        <v>0</v>
      </c>
      <c r="B108" s="5" t="str">
        <f t="shared" si="16"/>
        <v>E</v>
      </c>
      <c r="C108" s="5">
        <f t="shared" si="10"/>
        <v>0</v>
      </c>
      <c r="D108" s="5">
        <f t="shared" si="11"/>
        <v>0</v>
      </c>
      <c r="E108" s="4"/>
      <c r="F108" s="50" t="s">
        <v>80</v>
      </c>
      <c r="G108" s="2" t="s">
        <v>79</v>
      </c>
      <c r="H108" s="2"/>
      <c r="I108" s="1" t="s">
        <v>52</v>
      </c>
      <c r="J108" s="2"/>
      <c r="K108" s="2" t="s">
        <v>61</v>
      </c>
      <c r="L108" s="50" t="s">
        <v>62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0</v>
      </c>
      <c r="B111" s="5" t="str">
        <f t="shared" si="16"/>
        <v>E</v>
      </c>
      <c r="C111" s="5">
        <f t="shared" si="10"/>
        <v>0</v>
      </c>
      <c r="D111" s="5">
        <f t="shared" si="11"/>
        <v>0</v>
      </c>
      <c r="E111" s="4"/>
      <c r="F111" s="50" t="s">
        <v>82</v>
      </c>
      <c r="G111" s="2" t="s">
        <v>81</v>
      </c>
      <c r="H111" s="2"/>
      <c r="I111" s="1" t="s">
        <v>52</v>
      </c>
      <c r="J111" s="2"/>
      <c r="K111" s="2" t="s">
        <v>93</v>
      </c>
      <c r="L111" s="50" t="s">
        <v>94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34" ht="17.25" customHeight="1" x14ac:dyDescent="0.25">
      <c r="A112" s="5">
        <f t="shared" si="9"/>
        <v>0</v>
      </c>
      <c r="B112" s="5" t="str">
        <f t="shared" si="16"/>
        <v>E</v>
      </c>
      <c r="C112" s="5">
        <f t="shared" si="10"/>
        <v>0</v>
      </c>
      <c r="D112" s="5">
        <f t="shared" si="11"/>
        <v>0</v>
      </c>
      <c r="E112" s="4"/>
      <c r="F112" s="50" t="s">
        <v>87</v>
      </c>
      <c r="G112" s="2" t="s">
        <v>86</v>
      </c>
      <c r="H112" s="2"/>
      <c r="I112" s="1" t="s">
        <v>52</v>
      </c>
      <c r="J112" s="2"/>
      <c r="K112" s="2" t="s">
        <v>99</v>
      </c>
      <c r="L112" s="50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9"/>
        <v>0</v>
      </c>
      <c r="B113" s="5" t="str">
        <f t="shared" si="16"/>
        <v>E</v>
      </c>
      <c r="C113" s="5">
        <f t="shared" si="10"/>
        <v>0</v>
      </c>
      <c r="D113" s="5">
        <f t="shared" si="11"/>
        <v>0</v>
      </c>
      <c r="E113" s="4"/>
      <c r="F113" s="50" t="s">
        <v>65</v>
      </c>
      <c r="G113" s="2" t="s">
        <v>60</v>
      </c>
      <c r="H113" s="2"/>
      <c r="I113" s="1" t="s">
        <v>52</v>
      </c>
      <c r="J113" s="2"/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9"/>
        <v>0</v>
      </c>
      <c r="B114" s="5" t="str">
        <f t="shared" si="16"/>
        <v>E</v>
      </c>
      <c r="C114" s="5">
        <f t="shared" si="10"/>
        <v>0</v>
      </c>
      <c r="D114" s="5">
        <f t="shared" si="11"/>
        <v>0</v>
      </c>
      <c r="E114" s="4"/>
      <c r="F114" s="50" t="s">
        <v>77</v>
      </c>
      <c r="G114" s="2" t="s">
        <v>78</v>
      </c>
      <c r="H114" s="2"/>
      <c r="I114" s="1" t="s">
        <v>52</v>
      </c>
      <c r="J114" s="2"/>
      <c r="K114" s="2" t="s">
        <v>89</v>
      </c>
      <c r="L114" s="50" t="s">
        <v>90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9"/>
        <v>0</v>
      </c>
      <c r="B115" s="5" t="str">
        <f t="shared" si="16"/>
        <v>E</v>
      </c>
      <c r="C115" s="5">
        <f t="shared" si="10"/>
        <v>0</v>
      </c>
      <c r="D115" s="5">
        <f t="shared" si="11"/>
        <v>0</v>
      </c>
      <c r="E115" s="4"/>
      <c r="F115" s="50" t="s">
        <v>74</v>
      </c>
      <c r="G115" s="2" t="s">
        <v>71</v>
      </c>
      <c r="H115" s="2"/>
      <c r="I115" s="1" t="s">
        <v>52</v>
      </c>
      <c r="J115" s="2"/>
      <c r="K115" s="2" t="s">
        <v>66</v>
      </c>
      <c r="L115" s="50" t="s">
        <v>67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9"/>
        <v>0</v>
      </c>
      <c r="B116" s="5" t="str">
        <f t="shared" si="16"/>
        <v>E</v>
      </c>
      <c r="C116" s="5">
        <f t="shared" si="10"/>
        <v>0</v>
      </c>
      <c r="D116" s="5">
        <f t="shared" si="11"/>
        <v>0</v>
      </c>
      <c r="E116" s="4"/>
      <c r="F116" s="50" t="s">
        <v>92</v>
      </c>
      <c r="G116" s="2" t="s">
        <v>91</v>
      </c>
      <c r="H116" s="2"/>
      <c r="I116" s="1" t="s">
        <v>52</v>
      </c>
      <c r="J116" s="2"/>
      <c r="K116" s="2" t="s">
        <v>88</v>
      </c>
      <c r="L116" s="50" t="s">
        <v>75</v>
      </c>
      <c r="M116" s="4"/>
      <c r="N116" s="5">
        <f t="shared" si="12"/>
        <v>0</v>
      </c>
      <c r="O116" s="5">
        <f t="shared" si="13"/>
        <v>0</v>
      </c>
      <c r="P116" s="5" t="str">
        <f>_xlfn.IFS(Q116&gt;=5,"V",Q116&lt;=-5,"D",Q116&lt;=-4.99,"E",Q116&lt;=4.99,"E")</f>
        <v>E</v>
      </c>
      <c r="Q116" s="5">
        <f t="shared" si="15"/>
        <v>0</v>
      </c>
    </row>
    <row r="117" spans="1:17" ht="17.25" customHeight="1" x14ac:dyDescent="0.25">
      <c r="A117" s="5">
        <f t="shared" si="9"/>
        <v>0</v>
      </c>
      <c r="B117" s="5" t="str">
        <f t="shared" si="16"/>
        <v>E</v>
      </c>
      <c r="C117" s="5">
        <f t="shared" si="10"/>
        <v>0</v>
      </c>
      <c r="D117" s="5">
        <f t="shared" si="11"/>
        <v>0</v>
      </c>
      <c r="E117" s="4"/>
      <c r="F117" s="50" t="s">
        <v>96</v>
      </c>
      <c r="G117" s="2" t="s">
        <v>95</v>
      </c>
      <c r="H117" s="2"/>
      <c r="I117" s="1" t="s">
        <v>52</v>
      </c>
      <c r="J117" s="2"/>
      <c r="K117" s="2" t="s">
        <v>97</v>
      </c>
      <c r="L117" s="50" t="s">
        <v>98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9"/>
        <v>0</v>
      </c>
      <c r="B118" s="5" t="str">
        <f t="shared" si="16"/>
        <v>E</v>
      </c>
      <c r="C118" s="5">
        <f t="shared" si="10"/>
        <v>0</v>
      </c>
      <c r="D118" s="5">
        <f t="shared" si="11"/>
        <v>0</v>
      </c>
      <c r="E118" s="4"/>
      <c r="F118" s="50" t="s">
        <v>76</v>
      </c>
      <c r="G118" s="2" t="s">
        <v>83</v>
      </c>
      <c r="H118" s="2"/>
      <c r="I118" s="1" t="s">
        <v>52</v>
      </c>
      <c r="J118" s="2"/>
      <c r="K118" s="2" t="s">
        <v>61</v>
      </c>
      <c r="L118" s="50" t="s">
        <v>62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9"/>
        <v>0</v>
      </c>
      <c r="B119" s="5" t="str">
        <f t="shared" si="16"/>
        <v>E</v>
      </c>
      <c r="C119" s="5">
        <f t="shared" si="10"/>
        <v>0</v>
      </c>
      <c r="D119" s="5">
        <f t="shared" si="11"/>
        <v>0</v>
      </c>
      <c r="E119" s="4"/>
      <c r="F119" s="50" t="s">
        <v>73</v>
      </c>
      <c r="G119" s="2" t="s">
        <v>70</v>
      </c>
      <c r="H119" s="2"/>
      <c r="I119" s="1" t="s">
        <v>52</v>
      </c>
      <c r="J119" s="2"/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9"/>
        <v>0</v>
      </c>
      <c r="B120" s="5" t="str">
        <f t="shared" si="16"/>
        <v>E</v>
      </c>
      <c r="C120" s="5">
        <f t="shared" si="10"/>
        <v>0</v>
      </c>
      <c r="D120" s="5">
        <f t="shared" si="11"/>
        <v>0</v>
      </c>
      <c r="E120" s="4"/>
      <c r="F120" s="50" t="s">
        <v>80</v>
      </c>
      <c r="G120" s="2" t="s">
        <v>79</v>
      </c>
      <c r="H120" s="2"/>
      <c r="I120" s="1" t="s">
        <v>52</v>
      </c>
      <c r="J120" s="2"/>
      <c r="K120" s="2" t="s">
        <v>63</v>
      </c>
      <c r="L120" s="50" t="s">
        <v>64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50" t="s">
        <v>84</v>
      </c>
      <c r="G123" s="2" t="s">
        <v>85</v>
      </c>
      <c r="H123" s="2"/>
      <c r="I123" s="1" t="s">
        <v>52</v>
      </c>
      <c r="J123" s="2"/>
      <c r="K123" s="2" t="s">
        <v>79</v>
      </c>
      <c r="L123" s="50" t="s">
        <v>80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50" t="s">
        <v>87</v>
      </c>
      <c r="G124" s="2" t="s">
        <v>86</v>
      </c>
      <c r="H124" s="2"/>
      <c r="I124" s="1" t="s">
        <v>52</v>
      </c>
      <c r="J124" s="2"/>
      <c r="K124" s="2" t="s">
        <v>78</v>
      </c>
      <c r="L124" s="50" t="s">
        <v>77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50" t="s">
        <v>90</v>
      </c>
      <c r="G125" s="2" t="s">
        <v>89</v>
      </c>
      <c r="H125" s="2"/>
      <c r="I125" s="1" t="s">
        <v>52</v>
      </c>
      <c r="J125" s="2"/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50" t="s">
        <v>67</v>
      </c>
      <c r="G126" s="2" t="s">
        <v>66</v>
      </c>
      <c r="H126" s="2"/>
      <c r="I126" s="1" t="s">
        <v>52</v>
      </c>
      <c r="J126" s="2"/>
      <c r="K126" s="2" t="s">
        <v>70</v>
      </c>
      <c r="L126" s="50" t="s">
        <v>73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50" t="s">
        <v>94</v>
      </c>
      <c r="G127" s="2" t="s">
        <v>93</v>
      </c>
      <c r="H127" s="2"/>
      <c r="I127" s="1" t="s">
        <v>52</v>
      </c>
      <c r="J127" s="2"/>
      <c r="K127" s="2" t="s">
        <v>95</v>
      </c>
      <c r="L127" s="50" t="s">
        <v>96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50" t="s">
        <v>92</v>
      </c>
      <c r="G128" s="2" t="s">
        <v>91</v>
      </c>
      <c r="H128" s="2"/>
      <c r="I128" s="1" t="s">
        <v>52</v>
      </c>
      <c r="J128" s="2"/>
      <c r="K128" s="2" t="s">
        <v>60</v>
      </c>
      <c r="L128" s="50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50" t="s">
        <v>72</v>
      </c>
      <c r="G129" s="2" t="s">
        <v>69</v>
      </c>
      <c r="H129" s="2"/>
      <c r="I129" s="1" t="s">
        <v>52</v>
      </c>
      <c r="J129" s="2"/>
      <c r="K129" s="2" t="s">
        <v>81</v>
      </c>
      <c r="L129" s="5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50" t="s">
        <v>62</v>
      </c>
      <c r="G130" s="2" t="s">
        <v>61</v>
      </c>
      <c r="H130" s="2"/>
      <c r="I130" s="1" t="s">
        <v>52</v>
      </c>
      <c r="J130" s="2"/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50" t="s">
        <v>75</v>
      </c>
      <c r="G131" s="2" t="s">
        <v>88</v>
      </c>
      <c r="H131" s="2"/>
      <c r="I131" s="1" t="s">
        <v>52</v>
      </c>
      <c r="J131" s="2"/>
      <c r="K131" s="2" t="s">
        <v>63</v>
      </c>
      <c r="L131" s="50" t="s">
        <v>64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0" t="s">
        <v>98</v>
      </c>
      <c r="G132" s="2" t="s">
        <v>97</v>
      </c>
      <c r="H132" s="2"/>
      <c r="I132" s="1" t="s">
        <v>52</v>
      </c>
      <c r="J132" s="2"/>
      <c r="K132" s="2" t="s">
        <v>71</v>
      </c>
      <c r="L132" s="50" t="s">
        <v>74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OH PROMOVIDO FC</v>
      </c>
      <c r="Y239" s="15">
        <f t="shared" ref="Y239:AG254" si="33">Y3</f>
        <v>16</v>
      </c>
      <c r="Z239" s="15">
        <f t="shared" si="33"/>
        <v>6</v>
      </c>
      <c r="AA239" s="15">
        <f t="shared" si="33"/>
        <v>5</v>
      </c>
      <c r="AB239" s="15">
        <f t="shared" si="33"/>
        <v>1</v>
      </c>
      <c r="AC239" s="15">
        <f t="shared" si="33"/>
        <v>0</v>
      </c>
      <c r="AD239" s="15">
        <f t="shared" si="33"/>
        <v>569.91</v>
      </c>
      <c r="AE239" s="15">
        <f t="shared" si="33"/>
        <v>379.35</v>
      </c>
      <c r="AF239" s="57">
        <f t="shared" si="33"/>
        <v>190.55999999999995</v>
      </c>
      <c r="AG239" s="24">
        <f t="shared" si="33"/>
        <v>94.984999999999999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Ak. Lanches</v>
      </c>
      <c r="Y240" s="35">
        <f t="shared" si="33"/>
        <v>15</v>
      </c>
      <c r="Z240" s="35">
        <f t="shared" si="33"/>
        <v>6</v>
      </c>
      <c r="AA240" s="35">
        <f t="shared" si="33"/>
        <v>5</v>
      </c>
      <c r="AB240" s="35">
        <f t="shared" si="33"/>
        <v>0</v>
      </c>
      <c r="AC240" s="35">
        <f t="shared" si="33"/>
        <v>1</v>
      </c>
      <c r="AD240" s="35">
        <f t="shared" si="33"/>
        <v>574.59999999999991</v>
      </c>
      <c r="AE240" s="35">
        <f t="shared" si="33"/>
        <v>319.88</v>
      </c>
      <c r="AF240" s="58">
        <f t="shared" si="33"/>
        <v>254.71999999999991</v>
      </c>
      <c r="AG240" s="25">
        <f t="shared" si="33"/>
        <v>95.766666666666652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13</v>
      </c>
      <c r="Z241" s="35">
        <f t="shared" si="33"/>
        <v>6</v>
      </c>
      <c r="AA241" s="35">
        <f t="shared" si="33"/>
        <v>4</v>
      </c>
      <c r="AB241" s="35">
        <f t="shared" si="33"/>
        <v>1</v>
      </c>
      <c r="AC241" s="35">
        <f t="shared" si="33"/>
        <v>1</v>
      </c>
      <c r="AD241" s="35">
        <f t="shared" si="33"/>
        <v>550.27</v>
      </c>
      <c r="AE241" s="35">
        <f t="shared" si="33"/>
        <v>371.93</v>
      </c>
      <c r="AF241" s="58">
        <f t="shared" si="33"/>
        <v>178.33999999999997</v>
      </c>
      <c r="AG241" s="25">
        <f t="shared" si="33"/>
        <v>91.711666666666659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SA Werewolves</v>
      </c>
      <c r="Y242" s="35">
        <f t="shared" si="33"/>
        <v>13</v>
      </c>
      <c r="Z242" s="35">
        <f t="shared" si="33"/>
        <v>6</v>
      </c>
      <c r="AA242" s="35">
        <f t="shared" si="33"/>
        <v>4</v>
      </c>
      <c r="AB242" s="35">
        <f t="shared" si="33"/>
        <v>1</v>
      </c>
      <c r="AC242" s="35">
        <f t="shared" si="33"/>
        <v>1</v>
      </c>
      <c r="AD242" s="35">
        <f t="shared" si="33"/>
        <v>538.01</v>
      </c>
      <c r="AE242" s="35">
        <f t="shared" si="33"/>
        <v>378</v>
      </c>
      <c r="AF242" s="58">
        <f t="shared" si="33"/>
        <v>160.01</v>
      </c>
      <c r="AG242" s="25">
        <f t="shared" si="33"/>
        <v>89.668333333333337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Fiel FC Riacho</v>
      </c>
      <c r="Y243" s="36">
        <f t="shared" si="33"/>
        <v>12</v>
      </c>
      <c r="Z243" s="36">
        <f t="shared" si="33"/>
        <v>6</v>
      </c>
      <c r="AA243" s="36">
        <f t="shared" si="33"/>
        <v>4</v>
      </c>
      <c r="AB243" s="36">
        <f t="shared" si="33"/>
        <v>0</v>
      </c>
      <c r="AC243" s="36">
        <f t="shared" si="33"/>
        <v>2</v>
      </c>
      <c r="AD243" s="36">
        <f t="shared" si="33"/>
        <v>423.44</v>
      </c>
      <c r="AE243" s="36">
        <f t="shared" si="33"/>
        <v>348.3</v>
      </c>
      <c r="AF243" s="60">
        <f t="shared" si="33"/>
        <v>75.139999999999986</v>
      </c>
      <c r="AG243" s="25">
        <f t="shared" si="33"/>
        <v>70.573333333333338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disfuca</v>
      </c>
      <c r="Y244" s="36">
        <f t="shared" si="33"/>
        <v>12</v>
      </c>
      <c r="Z244" s="36">
        <f t="shared" si="33"/>
        <v>6</v>
      </c>
      <c r="AA244" s="36">
        <f t="shared" si="33"/>
        <v>4</v>
      </c>
      <c r="AB244" s="36">
        <f t="shared" si="33"/>
        <v>0</v>
      </c>
      <c r="AC244" s="36">
        <f t="shared" si="33"/>
        <v>2</v>
      </c>
      <c r="AD244" s="36">
        <f t="shared" si="33"/>
        <v>495.71000000000004</v>
      </c>
      <c r="AE244" s="36">
        <f t="shared" si="33"/>
        <v>470.80999999999995</v>
      </c>
      <c r="AF244" s="60">
        <f t="shared" si="33"/>
        <v>24.900000000000091</v>
      </c>
      <c r="AG244" s="25">
        <f t="shared" si="33"/>
        <v>82.618333333333339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Rk_fitness FC</v>
      </c>
      <c r="Y245" s="36">
        <f t="shared" si="33"/>
        <v>11</v>
      </c>
      <c r="Z245" s="36">
        <f t="shared" si="33"/>
        <v>6</v>
      </c>
      <c r="AA245" s="36">
        <f t="shared" si="33"/>
        <v>3</v>
      </c>
      <c r="AB245" s="36">
        <f t="shared" si="33"/>
        <v>2</v>
      </c>
      <c r="AC245" s="36">
        <f t="shared" si="33"/>
        <v>1</v>
      </c>
      <c r="AD245" s="36">
        <f t="shared" si="33"/>
        <v>538.65</v>
      </c>
      <c r="AE245" s="36">
        <f t="shared" si="33"/>
        <v>413.19999999999993</v>
      </c>
      <c r="AF245" s="60">
        <f t="shared" si="33"/>
        <v>125.45000000000005</v>
      </c>
      <c r="AG245" s="25">
        <f t="shared" si="33"/>
        <v>89.774999999999991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juticeiro futebol</v>
      </c>
      <c r="Y246" s="36">
        <f t="shared" si="33"/>
        <v>11</v>
      </c>
      <c r="Z246" s="36">
        <f t="shared" si="33"/>
        <v>6</v>
      </c>
      <c r="AA246" s="36">
        <f t="shared" si="33"/>
        <v>3</v>
      </c>
      <c r="AB246" s="36">
        <f t="shared" si="33"/>
        <v>2</v>
      </c>
      <c r="AC246" s="36">
        <f t="shared" si="33"/>
        <v>1</v>
      </c>
      <c r="AD246" s="36">
        <f t="shared" si="33"/>
        <v>515.66000000000008</v>
      </c>
      <c r="AE246" s="36">
        <f t="shared" si="33"/>
        <v>484.47999999999996</v>
      </c>
      <c r="AF246" s="60">
        <f t="shared" si="33"/>
        <v>31.180000000000121</v>
      </c>
      <c r="AG246" s="25">
        <f t="shared" si="33"/>
        <v>85.943333333333342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Sport Barra 4</v>
      </c>
      <c r="Y247" s="36">
        <f t="shared" si="33"/>
        <v>10</v>
      </c>
      <c r="Z247" s="36">
        <f t="shared" si="33"/>
        <v>6</v>
      </c>
      <c r="AA247" s="36">
        <f t="shared" si="33"/>
        <v>3</v>
      </c>
      <c r="AB247" s="36">
        <f t="shared" si="33"/>
        <v>1</v>
      </c>
      <c r="AC247" s="36">
        <f t="shared" si="33"/>
        <v>2</v>
      </c>
      <c r="AD247" s="36">
        <f t="shared" si="33"/>
        <v>501.26</v>
      </c>
      <c r="AE247" s="36">
        <f t="shared" si="33"/>
        <v>340.97999999999996</v>
      </c>
      <c r="AF247" s="60">
        <f t="shared" si="33"/>
        <v>160.28000000000003</v>
      </c>
      <c r="AG247" s="25">
        <f t="shared" si="33"/>
        <v>83.543333333333337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LS Alves F.C</v>
      </c>
      <c r="Y248" s="36">
        <f t="shared" si="33"/>
        <v>9</v>
      </c>
      <c r="Z248" s="36">
        <f t="shared" si="33"/>
        <v>6</v>
      </c>
      <c r="AA248" s="36">
        <f t="shared" si="33"/>
        <v>3</v>
      </c>
      <c r="AB248" s="36">
        <f t="shared" si="33"/>
        <v>0</v>
      </c>
      <c r="AC248" s="36">
        <f t="shared" si="33"/>
        <v>3</v>
      </c>
      <c r="AD248" s="36">
        <f t="shared" si="33"/>
        <v>338.88</v>
      </c>
      <c r="AE248" s="36">
        <f t="shared" si="33"/>
        <v>505.46</v>
      </c>
      <c r="AF248" s="60">
        <f t="shared" si="33"/>
        <v>-166.57999999999998</v>
      </c>
      <c r="AG248" s="25">
        <f t="shared" si="33"/>
        <v>56.48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Kaiocezar1992</v>
      </c>
      <c r="Y249" s="36">
        <f t="shared" si="33"/>
        <v>8</v>
      </c>
      <c r="Z249" s="36">
        <f t="shared" si="33"/>
        <v>6</v>
      </c>
      <c r="AA249" s="36">
        <f t="shared" si="33"/>
        <v>2</v>
      </c>
      <c r="AB249" s="36">
        <f t="shared" si="33"/>
        <v>2</v>
      </c>
      <c r="AC249" s="36">
        <f t="shared" si="33"/>
        <v>2</v>
      </c>
      <c r="AD249" s="36">
        <f t="shared" si="33"/>
        <v>509.19</v>
      </c>
      <c r="AE249" s="36">
        <f t="shared" si="33"/>
        <v>373.72</v>
      </c>
      <c r="AF249" s="60">
        <f t="shared" si="33"/>
        <v>135.46999999999997</v>
      </c>
      <c r="AG249" s="25">
        <f t="shared" si="33"/>
        <v>84.864999999999995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Golfinho FC 1999</v>
      </c>
      <c r="Y250" s="36">
        <f t="shared" si="33"/>
        <v>8</v>
      </c>
      <c r="Z250" s="36">
        <f t="shared" si="33"/>
        <v>6</v>
      </c>
      <c r="AA250" s="36">
        <f t="shared" si="33"/>
        <v>2</v>
      </c>
      <c r="AB250" s="36">
        <f t="shared" si="33"/>
        <v>2</v>
      </c>
      <c r="AC250" s="36">
        <f t="shared" si="33"/>
        <v>2</v>
      </c>
      <c r="AD250" s="36">
        <f t="shared" si="33"/>
        <v>428.82</v>
      </c>
      <c r="AE250" s="36">
        <f t="shared" si="33"/>
        <v>435.7</v>
      </c>
      <c r="AF250" s="60">
        <f t="shared" si="33"/>
        <v>-6.8799999999999955</v>
      </c>
      <c r="AG250" s="25">
        <f t="shared" si="33"/>
        <v>71.47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Loucosbet</v>
      </c>
      <c r="Y251" s="36">
        <f t="shared" si="33"/>
        <v>7</v>
      </c>
      <c r="Z251" s="36">
        <f t="shared" si="33"/>
        <v>6</v>
      </c>
      <c r="AA251" s="36">
        <f t="shared" si="33"/>
        <v>2</v>
      </c>
      <c r="AB251" s="36">
        <f t="shared" si="33"/>
        <v>1</v>
      </c>
      <c r="AC251" s="36">
        <f t="shared" si="33"/>
        <v>3</v>
      </c>
      <c r="AD251" s="36">
        <f t="shared" si="33"/>
        <v>445.51</v>
      </c>
      <c r="AE251" s="36">
        <f t="shared" si="33"/>
        <v>404.38</v>
      </c>
      <c r="AF251" s="60">
        <f t="shared" si="33"/>
        <v>41.129999999999995</v>
      </c>
      <c r="AG251" s="25">
        <f t="shared" si="33"/>
        <v>74.251666666666665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SeguimeuPAAL</v>
      </c>
      <c r="Y252" s="36">
        <f t="shared" si="33"/>
        <v>7</v>
      </c>
      <c r="Z252" s="36">
        <f t="shared" si="33"/>
        <v>6</v>
      </c>
      <c r="AA252" s="36">
        <f t="shared" si="33"/>
        <v>2</v>
      </c>
      <c r="AB252" s="36">
        <f t="shared" si="33"/>
        <v>1</v>
      </c>
      <c r="AC252" s="36">
        <f t="shared" si="33"/>
        <v>3</v>
      </c>
      <c r="AD252" s="36">
        <f t="shared" si="33"/>
        <v>527.07999999999993</v>
      </c>
      <c r="AE252" s="36">
        <f t="shared" si="33"/>
        <v>547.49</v>
      </c>
      <c r="AF252" s="60">
        <f t="shared" si="33"/>
        <v>-20.410000000000082</v>
      </c>
      <c r="AG252" s="25">
        <f t="shared" si="33"/>
        <v>87.84666666666665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Amigos do Marx</v>
      </c>
      <c r="Y253" s="36">
        <f t="shared" si="33"/>
        <v>6</v>
      </c>
      <c r="Z253" s="36">
        <f t="shared" si="33"/>
        <v>6</v>
      </c>
      <c r="AA253" s="36">
        <f t="shared" si="33"/>
        <v>1</v>
      </c>
      <c r="AB253" s="36">
        <f t="shared" si="33"/>
        <v>3</v>
      </c>
      <c r="AC253" s="36">
        <f t="shared" si="33"/>
        <v>2</v>
      </c>
      <c r="AD253" s="36">
        <f t="shared" si="33"/>
        <v>551.21</v>
      </c>
      <c r="AE253" s="36">
        <f t="shared" si="33"/>
        <v>553.78</v>
      </c>
      <c r="AF253" s="60">
        <f t="shared" si="33"/>
        <v>-2.5699999999999363</v>
      </c>
      <c r="AG253" s="25">
        <f t="shared" si="33"/>
        <v>91.868333333333339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riacho futebol clube riachesse</v>
      </c>
      <c r="Y254" s="36">
        <f t="shared" si="33"/>
        <v>4</v>
      </c>
      <c r="Z254" s="36">
        <f t="shared" si="33"/>
        <v>6</v>
      </c>
      <c r="AA254" s="36">
        <f t="shared" si="33"/>
        <v>1</v>
      </c>
      <c r="AB254" s="36">
        <f t="shared" si="33"/>
        <v>1</v>
      </c>
      <c r="AC254" s="36">
        <f t="shared" si="33"/>
        <v>4</v>
      </c>
      <c r="AD254" s="36">
        <f t="shared" si="33"/>
        <v>410.77</v>
      </c>
      <c r="AE254" s="36">
        <f t="shared" si="33"/>
        <v>557.53</v>
      </c>
      <c r="AF254" s="60">
        <f t="shared" si="33"/>
        <v>-146.76</v>
      </c>
      <c r="AG254" s="25">
        <f t="shared" si="33"/>
        <v>68.461666666666659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Calabresa c/ catupiry</v>
      </c>
      <c r="Y255" s="38">
        <f t="shared" si="34"/>
        <v>3</v>
      </c>
      <c r="Z255" s="38">
        <f t="shared" si="34"/>
        <v>6</v>
      </c>
      <c r="AA255" s="38">
        <f t="shared" si="34"/>
        <v>1</v>
      </c>
      <c r="AB255" s="38">
        <f t="shared" si="34"/>
        <v>0</v>
      </c>
      <c r="AC255" s="38">
        <f t="shared" si="34"/>
        <v>5</v>
      </c>
      <c r="AD255" s="38">
        <f t="shared" si="34"/>
        <v>308.06</v>
      </c>
      <c r="AE255" s="38">
        <f t="shared" si="34"/>
        <v>525.96</v>
      </c>
      <c r="AF255" s="61">
        <f t="shared" si="34"/>
        <v>-217.90000000000003</v>
      </c>
      <c r="AG255" s="25">
        <f t="shared" si="34"/>
        <v>51.343333333333334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DrogonTargaryen</v>
      </c>
      <c r="Y256" s="38">
        <f t="shared" si="35"/>
        <v>2</v>
      </c>
      <c r="Z256" s="38">
        <f t="shared" si="35"/>
        <v>6</v>
      </c>
      <c r="AA256" s="38">
        <f t="shared" si="35"/>
        <v>0</v>
      </c>
      <c r="AB256" s="38">
        <f t="shared" si="35"/>
        <v>2</v>
      </c>
      <c r="AC256" s="38">
        <f t="shared" si="35"/>
        <v>4</v>
      </c>
      <c r="AD256" s="38">
        <f t="shared" si="35"/>
        <v>353.38</v>
      </c>
      <c r="AE256" s="38">
        <f t="shared" si="35"/>
        <v>501.79999999999995</v>
      </c>
      <c r="AF256" s="61">
        <f t="shared" si="35"/>
        <v>-148.41999999999996</v>
      </c>
      <c r="AG256" s="25">
        <f t="shared" si="35"/>
        <v>58.896666666666668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TM89</v>
      </c>
      <c r="Y257" s="38">
        <f t="shared" si="35"/>
        <v>2</v>
      </c>
      <c r="Z257" s="38">
        <f t="shared" si="35"/>
        <v>6</v>
      </c>
      <c r="AA257" s="38">
        <f t="shared" si="35"/>
        <v>0</v>
      </c>
      <c r="AB257" s="38">
        <f t="shared" si="35"/>
        <v>2</v>
      </c>
      <c r="AC257" s="38">
        <f t="shared" si="35"/>
        <v>4</v>
      </c>
      <c r="AD257" s="38">
        <f t="shared" si="35"/>
        <v>201.27999999999997</v>
      </c>
      <c r="AE257" s="38">
        <f t="shared" si="35"/>
        <v>453.16999999999996</v>
      </c>
      <c r="AF257" s="61">
        <f t="shared" si="35"/>
        <v>-251.89</v>
      </c>
      <c r="AG257" s="25">
        <f t="shared" si="35"/>
        <v>33.54666666666666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0</v>
      </c>
      <c r="Z258" s="17">
        <f t="shared" si="35"/>
        <v>6</v>
      </c>
      <c r="AA258" s="17">
        <f t="shared" si="35"/>
        <v>0</v>
      </c>
      <c r="AB258" s="17">
        <f t="shared" si="35"/>
        <v>0</v>
      </c>
      <c r="AC258" s="17">
        <f t="shared" si="35"/>
        <v>6</v>
      </c>
      <c r="AD258" s="17">
        <f t="shared" si="35"/>
        <v>116.25999999999999</v>
      </c>
      <c r="AE258" s="17">
        <f t="shared" si="35"/>
        <v>532.03</v>
      </c>
      <c r="AF258" s="62">
        <f t="shared" si="35"/>
        <v>-415.77</v>
      </c>
      <c r="AG258" s="26">
        <f t="shared" si="35"/>
        <v>19.376666666666665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20" sqref="C20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0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0</v>
      </c>
    </row>
    <row r="7" spans="1:5" ht="18.75" x14ac:dyDescent="0.25">
      <c r="A7" s="50" t="s">
        <v>73</v>
      </c>
      <c r="B7" s="2" t="s">
        <v>70</v>
      </c>
      <c r="C7" s="2">
        <v>0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4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2026-09-01T16:14:54Z</dcterms:modified>
</cp:coreProperties>
</file>