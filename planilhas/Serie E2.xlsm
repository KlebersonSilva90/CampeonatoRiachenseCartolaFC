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F20ECDDB-5672-471B-81F8-F5BDEC14F54F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A141" i="3" s="1"/>
  <c r="B141" i="3" s="1"/>
  <c r="C141" i="3"/>
  <c r="Q140" i="3"/>
  <c r="P140" i="3" s="1"/>
  <c r="O140" i="3"/>
  <c r="N140" i="3"/>
  <c r="D140" i="3"/>
  <c r="C140" i="3"/>
  <c r="A140" i="3"/>
  <c r="B140" i="3" s="1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A138" i="3"/>
  <c r="B138" i="3" s="1"/>
  <c r="Q137" i="3"/>
  <c r="P137" i="3" s="1"/>
  <c r="O137" i="3"/>
  <c r="N137" i="3"/>
  <c r="D137" i="3"/>
  <c r="A137" i="3" s="1"/>
  <c r="C137" i="3"/>
  <c r="B137" i="3"/>
  <c r="Q136" i="3"/>
  <c r="P136" i="3" s="1"/>
  <c r="O136" i="3"/>
  <c r="N136" i="3"/>
  <c r="D136" i="3"/>
  <c r="C136" i="3"/>
  <c r="A136" i="3"/>
  <c r="B136" i="3" s="1"/>
  <c r="Q135" i="3"/>
  <c r="P135" i="3" s="1"/>
  <c r="O135" i="3"/>
  <c r="N135" i="3"/>
  <c r="D135" i="3"/>
  <c r="A135" i="3" s="1"/>
  <c r="B135" i="3" s="1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A128" i="3" s="1"/>
  <c r="B128" i="3" s="1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A124" i="3" s="1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 s="1"/>
  <c r="B120" i="3" s="1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 s="1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 s="1"/>
  <c r="O71" i="3"/>
  <c r="N71" i="3"/>
  <c r="D71" i="3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7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D5" i="3"/>
  <c r="C5" i="3"/>
  <c r="Q4" i="3"/>
  <c r="P4" i="3" s="1"/>
  <c r="O4" i="3"/>
  <c r="AD10" i="3" s="1"/>
  <c r="N4" i="3"/>
  <c r="D4" i="3"/>
  <c r="C4" i="3"/>
  <c r="A4" i="3" s="1"/>
  <c r="B4" i="3" s="1"/>
  <c r="AD3" i="3"/>
  <c r="Q3" i="3"/>
  <c r="P3" i="3" s="1"/>
  <c r="O3" i="3"/>
  <c r="N3" i="3"/>
  <c r="D3" i="3"/>
  <c r="C3" i="3"/>
  <c r="A127" i="3" l="1"/>
  <c r="B127" i="3" s="1"/>
  <c r="A125" i="3"/>
  <c r="B125" i="3" s="1"/>
  <c r="AB20" i="3" s="1"/>
  <c r="A115" i="3"/>
  <c r="B115" i="3" s="1"/>
  <c r="A113" i="3"/>
  <c r="B113" i="3" s="1"/>
  <c r="A111" i="3"/>
  <c r="B111" i="3" s="1"/>
  <c r="A119" i="3"/>
  <c r="B119" i="3" s="1"/>
  <c r="A107" i="3"/>
  <c r="B107" i="3" s="1"/>
  <c r="A91" i="3"/>
  <c r="B91" i="3" s="1"/>
  <c r="A89" i="3"/>
  <c r="B89" i="3" s="1"/>
  <c r="A92" i="3"/>
  <c r="B92" i="3" s="1"/>
  <c r="AB15" i="3" s="1"/>
  <c r="A77" i="3"/>
  <c r="B77" i="3" s="1"/>
  <c r="A75" i="3"/>
  <c r="B75" i="3" s="1"/>
  <c r="AD22" i="3"/>
  <c r="AE15" i="3"/>
  <c r="AE13" i="3"/>
  <c r="A78" i="3"/>
  <c r="B78" i="3" s="1"/>
  <c r="AE14" i="3"/>
  <c r="A64" i="3"/>
  <c r="B64" i="3" s="1"/>
  <c r="A67" i="3"/>
  <c r="B67" i="3" s="1"/>
  <c r="A72" i="3"/>
  <c r="B72" i="3" s="1"/>
  <c r="AE6" i="3"/>
  <c r="A63" i="3"/>
  <c r="B63" i="3" s="1"/>
  <c r="A68" i="3"/>
  <c r="B68" i="3" s="1"/>
  <c r="A71" i="3"/>
  <c r="B71" i="3" s="1"/>
  <c r="A51" i="3"/>
  <c r="B51" i="3" s="1"/>
  <c r="A52" i="3"/>
  <c r="B52" i="3" s="1"/>
  <c r="A55" i="3"/>
  <c r="B55" i="3" s="1"/>
  <c r="A58" i="3"/>
  <c r="B58" i="3" s="1"/>
  <c r="AD14" i="3"/>
  <c r="AF14" i="3" s="1"/>
  <c r="A44" i="3"/>
  <c r="B44" i="3" s="1"/>
  <c r="A47" i="3"/>
  <c r="B47" i="3" s="1"/>
  <c r="A43" i="3"/>
  <c r="B43" i="3" s="1"/>
  <c r="A48" i="3"/>
  <c r="B48" i="3" s="1"/>
  <c r="A33" i="3"/>
  <c r="B33" i="3" s="1"/>
  <c r="AD7" i="3"/>
  <c r="AF7" i="3" s="1"/>
  <c r="AD6" i="3"/>
  <c r="AE16" i="3"/>
  <c r="AE4" i="3"/>
  <c r="AE21" i="3"/>
  <c r="AE11" i="3"/>
  <c r="AD8" i="3"/>
  <c r="A15" i="3"/>
  <c r="B15" i="3" s="1"/>
  <c r="A21" i="3"/>
  <c r="B21" i="3" s="1"/>
  <c r="A22" i="3"/>
  <c r="B22" i="3" s="1"/>
  <c r="A24" i="3"/>
  <c r="B24" i="3" s="1"/>
  <c r="AE17" i="3"/>
  <c r="AD21" i="3"/>
  <c r="A18" i="3"/>
  <c r="B18" i="3" s="1"/>
  <c r="AD15" i="3"/>
  <c r="AD20" i="3"/>
  <c r="AE3" i="3"/>
  <c r="A5" i="3"/>
  <c r="B5" i="3" s="1"/>
  <c r="AB22" i="3" s="1"/>
  <c r="AD16" i="3"/>
  <c r="AD4" i="3"/>
  <c r="AE18" i="3"/>
  <c r="A3" i="3"/>
  <c r="B3" i="3" s="1"/>
  <c r="AE20" i="3"/>
  <c r="A11" i="3"/>
  <c r="B11" i="3" s="1"/>
  <c r="AD19" i="3"/>
  <c r="AE12" i="3"/>
  <c r="AE5" i="3"/>
  <c r="AD13" i="3"/>
  <c r="AC22" i="3"/>
  <c r="AB6" i="3"/>
  <c r="AC4" i="3"/>
  <c r="AA4" i="3"/>
  <c r="AB4" i="3"/>
  <c r="AA12" i="3"/>
  <c r="AC12" i="3"/>
  <c r="AB12" i="3"/>
  <c r="AA15" i="3"/>
  <c r="AC15" i="3"/>
  <c r="AE8" i="3"/>
  <c r="AE22" i="3"/>
  <c r="A82" i="3"/>
  <c r="B82" i="3" s="1"/>
  <c r="A84" i="3"/>
  <c r="B84" i="3" s="1"/>
  <c r="AC3" i="3" s="1"/>
  <c r="A88" i="3"/>
  <c r="B88" i="3" s="1"/>
  <c r="AA6" i="3" s="1"/>
  <c r="A94" i="3"/>
  <c r="B94" i="3" s="1"/>
  <c r="A96" i="3"/>
  <c r="B96" i="3" s="1"/>
  <c r="A100" i="3"/>
  <c r="B100" i="3" s="1"/>
  <c r="A102" i="3"/>
  <c r="B102" i="3" s="1"/>
  <c r="AE10" i="3"/>
  <c r="AE19" i="3"/>
  <c r="AD11" i="3"/>
  <c r="A6" i="3"/>
  <c r="B6" i="3" s="1"/>
  <c r="AD9" i="3"/>
  <c r="A10" i="3"/>
  <c r="B10" i="3" s="1"/>
  <c r="AD12" i="3"/>
  <c r="AD5" i="3"/>
  <c r="AD18" i="3"/>
  <c r="AD17" i="3"/>
  <c r="AE9" i="3"/>
  <c r="A59" i="3"/>
  <c r="B59" i="3" s="1"/>
  <c r="A79" i="3"/>
  <c r="B79" i="3" s="1"/>
  <c r="A81" i="3"/>
  <c r="B81" i="3" s="1"/>
  <c r="A83" i="3"/>
  <c r="B83" i="3" s="1"/>
  <c r="A87" i="3"/>
  <c r="B87" i="3" s="1"/>
  <c r="AC17" i="3" s="1"/>
  <c r="A93" i="3"/>
  <c r="B93" i="3" s="1"/>
  <c r="AB8" i="3" s="1"/>
  <c r="A95" i="3"/>
  <c r="B95" i="3" s="1"/>
  <c r="A99" i="3"/>
  <c r="B99" i="3" s="1"/>
  <c r="AC9" i="3" s="1"/>
  <c r="A101" i="3"/>
  <c r="B101" i="3" s="1"/>
  <c r="AC16" i="3" s="1"/>
  <c r="A103" i="3"/>
  <c r="B103" i="3" s="1"/>
  <c r="A227" i="3"/>
  <c r="B227" i="3" s="1"/>
  <c r="A226" i="3"/>
  <c r="B226" i="3" s="1"/>
  <c r="AA20" i="3" l="1"/>
  <c r="AB9" i="3"/>
  <c r="AC20" i="3"/>
  <c r="AC8" i="3"/>
  <c r="AE242" i="3"/>
  <c r="AF15" i="3"/>
  <c r="AA10" i="3"/>
  <c r="AC18" i="3"/>
  <c r="AB18" i="3"/>
  <c r="AF6" i="3"/>
  <c r="AA7" i="3"/>
  <c r="AA5" i="3"/>
  <c r="AC19" i="3"/>
  <c r="AB13" i="3"/>
  <c r="AD242" i="3"/>
  <c r="AF21" i="3"/>
  <c r="AE253" i="3"/>
  <c r="AD240" i="3"/>
  <c r="AE243" i="3"/>
  <c r="AE239" i="3"/>
  <c r="AD248" i="3"/>
  <c r="AE245" i="3"/>
  <c r="AD255" i="3"/>
  <c r="AE255" i="3"/>
  <c r="AE249" i="3"/>
  <c r="AC10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6" i="3"/>
  <c r="AE258" i="3"/>
  <c r="AF13" i="3"/>
  <c r="AF20" i="3"/>
  <c r="AD252" i="3"/>
  <c r="AE247" i="3"/>
  <c r="AE248" i="3"/>
  <c r="AF3" i="3"/>
  <c r="AE254" i="3"/>
  <c r="AD251" i="3"/>
  <c r="AE251" i="3"/>
  <c r="AE256" i="3"/>
  <c r="AE244" i="3"/>
  <c r="AF4" i="3"/>
  <c r="AB11" i="3"/>
  <c r="AF8" i="3"/>
  <c r="Y6" i="3"/>
  <c r="Z15" i="3"/>
  <c r="Y15" i="3"/>
  <c r="AB5" i="3"/>
  <c r="AB10" i="3"/>
  <c r="AB258" i="3" s="1"/>
  <c r="Y12" i="3"/>
  <c r="Z12" i="3"/>
  <c r="AC11" i="3"/>
  <c r="AC13" i="3"/>
  <c r="AA18" i="3"/>
  <c r="AA19" i="3"/>
  <c r="AC6" i="3"/>
  <c r="AA9" i="3"/>
  <c r="AA3" i="3"/>
  <c r="AD257" i="3"/>
  <c r="AF18" i="3"/>
  <c r="AC7" i="3"/>
  <c r="Y4" i="3"/>
  <c r="Z4" i="3"/>
  <c r="AB17" i="3"/>
  <c r="AA13" i="3"/>
  <c r="AD253" i="3"/>
  <c r="AF5" i="3"/>
  <c r="AB21" i="3"/>
  <c r="AA21" i="3"/>
  <c r="AC21" i="3"/>
  <c r="AB7" i="3"/>
  <c r="AC5" i="3"/>
  <c r="AA16" i="3"/>
  <c r="AA11" i="3"/>
  <c r="AA17" i="3"/>
  <c r="Y20" i="3"/>
  <c r="AB19" i="3"/>
  <c r="AB3" i="3"/>
  <c r="AA8" i="3"/>
  <c r="AD249" i="3"/>
  <c r="AF12" i="3"/>
  <c r="AB16" i="3"/>
  <c r="AF19" i="3"/>
  <c r="AF10" i="3"/>
  <c r="AB14" i="3"/>
  <c r="AA14" i="3"/>
  <c r="AC14" i="3"/>
  <c r="AD244" i="3"/>
  <c r="AF17" i="3"/>
  <c r="AD245" i="3"/>
  <c r="AF9" i="3"/>
  <c r="AD256" i="3"/>
  <c r="AF11" i="3"/>
  <c r="AF22" i="3"/>
  <c r="AA258" i="3" l="1"/>
  <c r="Z20" i="3"/>
  <c r="AC247" i="3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10" i="3"/>
  <c r="Z258" i="3" s="1"/>
  <c r="Y10" i="3"/>
  <c r="Y7" i="3"/>
  <c r="AA254" i="3"/>
  <c r="Z8" i="3"/>
  <c r="Y8" i="3"/>
  <c r="AA239" i="3"/>
  <c r="Y3" i="3"/>
  <c r="Z3" i="3"/>
  <c r="AG12" i="3"/>
  <c r="AA244" i="3"/>
  <c r="Y17" i="3"/>
  <c r="Z17" i="3"/>
  <c r="AG22" i="3"/>
  <c r="AG4" i="3"/>
  <c r="AA245" i="3"/>
  <c r="Y9" i="3"/>
  <c r="Z9" i="3"/>
  <c r="AG15" i="3"/>
  <c r="Z5" i="3"/>
  <c r="AA246" i="3"/>
  <c r="Z14" i="3"/>
  <c r="Y14" i="3"/>
  <c r="AA257" i="3"/>
  <c r="Z18" i="3"/>
  <c r="Y18" i="3"/>
  <c r="AG20" i="3"/>
  <c r="AA256" i="3"/>
  <c r="Z11" i="3"/>
  <c r="Y11" i="3"/>
  <c r="Z6" i="3"/>
  <c r="Y5" i="3"/>
  <c r="AA250" i="3"/>
  <c r="Z16" i="3"/>
  <c r="Y16" i="3"/>
  <c r="AA240" i="3"/>
  <c r="Z21" i="3"/>
  <c r="Y21" i="3"/>
  <c r="AA242" i="3"/>
  <c r="Z13" i="3"/>
  <c r="Y13" i="3"/>
  <c r="AA255" i="3"/>
  <c r="Y19" i="3"/>
  <c r="Z19" i="3"/>
  <c r="Z7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10" i="3"/>
  <c r="AG258" i="3" s="1"/>
  <c r="Z243" i="3"/>
  <c r="AG7" i="3"/>
  <c r="Z240" i="3"/>
  <c r="AG21" i="3"/>
  <c r="Z256" i="3"/>
  <c r="AG11" i="3"/>
  <c r="Z246" i="3"/>
  <c r="AG14" i="3"/>
  <c r="Z244" i="3"/>
  <c r="AG17" i="3"/>
  <c r="Z255" i="3"/>
  <c r="AG19" i="3"/>
  <c r="Z242" i="3"/>
  <c r="AG13" i="3"/>
  <c r="Z257" i="3"/>
  <c r="AG18" i="3"/>
  <c r="Z245" i="3"/>
  <c r="AG9" i="3"/>
  <c r="Z241" i="3"/>
  <c r="AG6" i="3"/>
  <c r="Z253" i="3"/>
  <c r="AG5" i="3"/>
  <c r="Z239" i="3"/>
  <c r="AG3" i="3"/>
  <c r="Z254" i="3"/>
  <c r="AG8" i="3"/>
  <c r="Z250" i="3"/>
  <c r="AG16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<sst xmlns="http://schemas.openxmlformats.org/spreadsheetml/2006/main" count="1157" uniqueCount="101">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</sst>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115" zoomScale="75" zoomScaleNormal="75" workbookViewId="0">
      <selection activeCell="X135" sqref="X135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79</v>
      </c>
      <c r="Y3" s="53">
        <f>SUM((AA3*3)+AB3)</f>
        <v>26</v>
      </c>
      <c r="Z3" s="53">
        <f>SUM(AA3+AB3+AC3)</f>
        <v>11</v>
      </c>
      <c r="AA3" s="53">
        <f>COUNTIFS($G$3:$G$228,X3,$B$3:$B$228,"V")+COUNTIFS($K$3:$K$228,X3,$P$3:$P$228,"V")</f>
        <v>8</v>
      </c>
      <c r="AB3" s="53">
        <f>COUNTIFS($G$3:$G$228,X3,$B$3:$B$228,"E",$H$3:$H$228,"&lt;&gt;"&amp;"")+COUNTIFS($K$3:$K$228,X3,$P$3:$P$228,"E",$J$3:$J$228,"&lt;&gt;"&amp;"")</f>
        <v>2</v>
      </c>
      <c r="AC3" s="53">
        <f>COUNTIFS($G$3:$G$228,X3,$B$3:$B$228,"D")+COUNTIFS($K$3:$K$228,X3,$P$3:$P$228,"D")</f>
        <v>1</v>
      </c>
      <c r="AD3" s="53">
        <f>SUMIFS($C$3:$C$228,$G$3:$G$228,X3)+SUMIFS($O$3:$O$228,$K$3:$K$228,X3)</f>
        <v>1070.57</v>
      </c>
      <c r="AE3" s="53">
        <f>SUMIFS($D$3:$D$228,$G$3:$G$228,X3)+SUMIFS($N$3:$N$228,$K$3:$K$228,X3)</f>
        <v>724.35</v>
      </c>
      <c r="AF3" s="53">
        <f>SUM(AD3-AE3)</f>
        <v>346.21999999999991</v>
      </c>
      <c r="AG3" s="21">
        <f>SUM(AD3/Z3)</f>
        <v>97.324545454545444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86</v>
      </c>
      <c r="Y4" s="64">
        <f>SUM((AA4*3)+AB4)</f>
        <v>26</v>
      </c>
      <c r="Z4" s="64">
        <f>SUM(AA4+AB4+AC4)</f>
        <v>11</v>
      </c>
      <c r="AA4" s="64">
        <f>COUNTIFS($G$3:$G$228,X4,$B$3:$B$228,"V")+COUNTIFS($K$3:$K$228,X4,$P$3:$P$228,"V")</f>
        <v>8</v>
      </c>
      <c r="AB4" s="64">
        <f>COUNTIFS($G$3:$G$228,X4,$B$3:$B$228,"E",$H$3:$H$228,"&lt;&gt;"&amp;"")+COUNTIFS($K$3:$K$228,X4,$P$3:$P$228,"E",$J$3:$J$228,"&lt;&gt;"&amp;"")</f>
        <v>2</v>
      </c>
      <c r="AC4" s="64">
        <f>COUNTIFS($G$3:$G$228,X4,$B$3:$B$228,"D")+COUNTIFS($K$3:$K$228,X4,$P$3:$P$228,"D")</f>
        <v>1</v>
      </c>
      <c r="AD4" s="64">
        <f>SUMIFS($C$3:$C$228,$G$3:$G$228,X4)+SUMIFS($O$3:$O$228,$K$3:$K$228,X4)</f>
        <v>1070.72</v>
      </c>
      <c r="AE4" s="64">
        <f>SUMIFS($D$3:$D$228,$G$3:$G$228,X4)+SUMIFS($N$3:$N$228,$K$3:$K$228,X4)</f>
        <v>822.02</v>
      </c>
      <c r="AF4" s="64">
        <f>SUM(AD4-AE4)</f>
        <v>248.70000000000005</v>
      </c>
      <c r="AG4" s="22">
        <f>SUM(AD4/Z4)</f>
        <v>97.338181818181823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83</v>
      </c>
      <c r="Y5" s="41">
        <f>SUM((AA5*3)+AB5)</f>
        <v>25</v>
      </c>
      <c r="Z5" s="41">
        <f>SUM(AA5+AB5+AC5)</f>
        <v>11</v>
      </c>
      <c r="AA5" s="41">
        <f>COUNTIFS($G$3:$G$228,X5,$B$3:$B$228,"V")+COUNTIFS($K$3:$K$228,X5,$P$3:$P$228,"V")</f>
        <v>8</v>
      </c>
      <c r="AB5" s="41">
        <f>COUNTIFS($G$3:$G$228,X5,$B$3:$B$228,"E",$H$3:$H$228,"&lt;&gt;"&amp;"")+COUNTIFS($K$3:$K$228,X5,$P$3:$P$228,"E",$J$3:$J$228,"&lt;&gt;"&amp;"")</f>
        <v>1</v>
      </c>
      <c r="AC5" s="41">
        <f>COUNTIFS($G$3:$G$228,X5,$B$3:$B$228,"D")+COUNTIFS($K$3:$K$228,X5,$P$3:$P$228,"D")</f>
        <v>2</v>
      </c>
      <c r="AD5" s="41">
        <f>SUMIFS($C$3:$C$228,$G$3:$G$228,X5)+SUMIFS($O$3:$O$228,$K$3:$K$228,X5)</f>
        <v>1053.8</v>
      </c>
      <c r="AE5" s="41">
        <f>SUMIFS($D$3:$D$228,$G$3:$G$228,X5)+SUMIFS($N$3:$N$228,$K$3:$K$228,X5)</f>
        <v>665.83</v>
      </c>
      <c r="AF5" s="73">
        <f>SUM(AD5-AE5)</f>
        <v>387.96999999999991</v>
      </c>
      <c r="AG5" s="22">
        <f>SUM(AD5/Z5)</f>
        <v>95.8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99</v>
      </c>
      <c r="Y6" s="64">
        <f>SUM((AA6*3)+AB6)</f>
        <v>25</v>
      </c>
      <c r="Z6" s="64">
        <f>SUM(AA6+AB6+AC6)</f>
        <v>11</v>
      </c>
      <c r="AA6" s="64">
        <f>COUNTIFS($G$3:$G$228,X6,$B$3:$B$228,"V")+COUNTIFS($K$3:$K$228,X6,$P$3:$P$228,"V")</f>
        <v>8</v>
      </c>
      <c r="AB6" s="64">
        <f>COUNTIFS($G$3:$G$228,X6,$B$3:$B$228,"E",$H$3:$H$228,"&lt;&gt;"&amp;"")+COUNTIFS($K$3:$K$228,X6,$P$3:$P$228,"E",$J$3:$J$228,"&lt;&gt;"&amp;"")</f>
        <v>1</v>
      </c>
      <c r="AC6" s="64">
        <f>COUNTIFS($G$3:$G$228,X6,$B$3:$B$228,"D")+COUNTIFS($K$3:$K$228,X6,$P$3:$P$228,"D")</f>
        <v>2</v>
      </c>
      <c r="AD6" s="64">
        <f>SUMIFS($C$3:$C$228,$G$3:$G$228,X6)+SUMIFS($O$3:$O$228,$K$3:$K$228,X6)</f>
        <v>1003.1400000000001</v>
      </c>
      <c r="AE6" s="64">
        <f>SUMIFS($D$3:$D$228,$G$3:$G$228,X6)+SUMIFS($N$3:$N$228,$K$3:$K$228,X6)</f>
        <v>753.39</v>
      </c>
      <c r="AF6" s="64">
        <f>SUM(AD6-AE6)</f>
        <v>249.75000000000011</v>
      </c>
      <c r="AG6" s="22">
        <f>SUM(AD6/Z6)</f>
        <v>91.194545454545462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97</v>
      </c>
      <c r="Y7" s="64">
        <f>SUM((AA7*3)+AB7)</f>
        <v>22</v>
      </c>
      <c r="Z7" s="64">
        <f>SUM(AA7+AB7+AC7)</f>
        <v>11</v>
      </c>
      <c r="AA7" s="64">
        <f>COUNTIFS($G$3:$G$228,X7,$B$3:$B$228,"V")+COUNTIFS($K$3:$K$228,X7,$P$3:$P$228,"V")</f>
        <v>7</v>
      </c>
      <c r="AB7" s="64">
        <f>COUNTIFS($G$3:$G$228,X7,$B$3:$B$228,"E",$H$3:$H$228,"&lt;&gt;"&amp;"")+COUNTIFS($K$3:$K$228,X7,$P$3:$P$228,"E",$J$3:$J$228,"&lt;&gt;"&amp;"")</f>
        <v>1</v>
      </c>
      <c r="AC7" s="64">
        <f>COUNTIFS($G$3:$G$228,X7,$B$3:$B$228,"D")+COUNTIFS($K$3:$K$228,X7,$P$3:$P$228,"D")</f>
        <v>3</v>
      </c>
      <c r="AD7" s="64">
        <f>SUMIFS($C$3:$C$228,$G$3:$G$228,X7)+SUMIFS($O$3:$O$228,$K$3:$K$228,X7)</f>
        <v>950.81</v>
      </c>
      <c r="AE7" s="64">
        <f>SUMIFS($D$3:$D$228,$G$3:$G$228,X7)+SUMIFS($N$3:$N$228,$K$3:$K$228,X7)</f>
        <v>850.31</v>
      </c>
      <c r="AF7" s="64">
        <f>SUM(AD7-AE7)</f>
        <v>100.5</v>
      </c>
      <c r="AG7" s="22">
        <f>SUM(AD7/Z7)</f>
        <v>86.437272727272727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69</v>
      </c>
      <c r="Y8" s="65">
        <f>SUM((AA8*3)+AB8)</f>
        <v>21</v>
      </c>
      <c r="Z8" s="65">
        <f>SUM(AA8+AB8+AC8)</f>
        <v>11</v>
      </c>
      <c r="AA8" s="64">
        <f>COUNTIFS($G$3:$G$228,X8,$B$3:$B$228,"V")+COUNTIFS($K$3:$K$228,X8,$P$3:$P$228,"V")</f>
        <v>6</v>
      </c>
      <c r="AB8" s="64">
        <f>COUNTIFS($G$3:$G$228,X8,$B$3:$B$228,"E",$H$3:$H$228,"&lt;&gt;"&amp;"")+COUNTIFS($K$3:$K$228,X8,$P$3:$P$228,"E",$J$3:$J$228,"&lt;&gt;"&amp;"")</f>
        <v>3</v>
      </c>
      <c r="AC8" s="64">
        <f>COUNTIFS($G$3:$G$228,X8,$B$3:$B$228,"D")+COUNTIFS($K$3:$K$228,X8,$P$3:$P$228,"D")</f>
        <v>2</v>
      </c>
      <c r="AD8" s="64">
        <f>SUMIFS($C$3:$C$228,$G$3:$G$228,X8)+SUMIFS($O$3:$O$228,$K$3:$K$228,X8)</f>
        <v>1006.75</v>
      </c>
      <c r="AE8" s="64">
        <f>SUMIFS($D$3:$D$228,$G$3:$G$228,X8)+SUMIFS($N$3:$N$228,$K$3:$K$228,X8)</f>
        <v>745.33999999999992</v>
      </c>
      <c r="AF8" s="65">
        <f>SUM(AD8-AE8)</f>
        <v>261.41000000000008</v>
      </c>
      <c r="AG8" s="22">
        <f>SUM(AD8/Z8)</f>
        <v>91.522727272727266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81</v>
      </c>
      <c r="Y9" s="41">
        <f>SUM((AA9*3)+AB9)</f>
        <v>19</v>
      </c>
      <c r="Z9" s="41">
        <f>SUM(AA9+AB9+AC9)</f>
        <v>11</v>
      </c>
      <c r="AA9" s="41">
        <f>COUNTIFS($G$3:$G$228,X9,$B$3:$B$228,"V")+COUNTIFS($K$3:$K$228,X9,$P$3:$P$228,"V")</f>
        <v>5</v>
      </c>
      <c r="AB9" s="41">
        <f>COUNTIFS($G$3:$G$228,X9,$B$3:$B$228,"E",$H$3:$H$228,"&lt;&gt;"&amp;"")+COUNTIFS($K$3:$K$228,X9,$P$3:$P$228,"E",$J$3:$J$228,"&lt;&gt;"&amp;"")</f>
        <v>4</v>
      </c>
      <c r="AC9" s="41">
        <f>COUNTIFS($G$3:$G$228,X9,$B$3:$B$228,"D")+COUNTIFS($K$3:$K$228,X9,$P$3:$P$228,"D")</f>
        <v>2</v>
      </c>
      <c r="AD9" s="41">
        <f>SUMIFS($C$3:$C$228,$G$3:$G$228,X9)+SUMIFS($O$3:$O$228,$K$3:$K$228,X9)</f>
        <v>981.82999999999993</v>
      </c>
      <c r="AE9" s="41">
        <f>SUMIFS($D$3:$D$228,$G$3:$G$228,X9)+SUMIFS($N$3:$N$228,$K$3:$K$228,X9)</f>
        <v>938.61999999999989</v>
      </c>
      <c r="AF9" s="41">
        <f>SUM(AD9-AE9)</f>
        <v>43.210000000000036</v>
      </c>
      <c r="AG9" s="22">
        <f>SUM(AD9/Z9)</f>
        <v>89.257272727272721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95</v>
      </c>
      <c r="Y10" s="65">
        <f>SUM((AA10*3)+AB10)</f>
        <v>17</v>
      </c>
      <c r="Z10" s="65">
        <f>SUM(AA10+AB10+AC10)</f>
        <v>11</v>
      </c>
      <c r="AA10" s="64">
        <f>COUNTIFS($G$3:$G$228,X10,$B$3:$B$228,"V")+COUNTIFS($K$3:$K$228,X10,$P$3:$P$228,"V")</f>
        <v>5</v>
      </c>
      <c r="AB10" s="64">
        <f>COUNTIFS($G$3:$G$228,X10,$B$3:$B$228,"E",$H$3:$H$228,"&lt;&gt;"&amp;"")+COUNTIFS($K$3:$K$228,X10,$P$3:$P$228,"E",$J$3:$J$228,"&lt;&gt;"&amp;"")</f>
        <v>2</v>
      </c>
      <c r="AC10" s="64">
        <f>COUNTIFS($G$3:$G$228,X10,$B$3:$B$228,"D")+COUNTIFS($K$3:$K$228,X10,$P$3:$P$228,"D")</f>
        <v>4</v>
      </c>
      <c r="AD10" s="64">
        <f>SUMIFS($C$3:$C$228,$G$3:$G$228,X10)+SUMIFS($O$3:$O$228,$K$3:$K$228,X10)</f>
        <v>909.66</v>
      </c>
      <c r="AE10" s="64">
        <f>SUMIFS($D$3:$D$228,$G$3:$G$228,X10)+SUMIFS($N$3:$N$228,$K$3:$K$228,X10)</f>
        <v>772.23</v>
      </c>
      <c r="AF10" s="65">
        <f>SUM(AD10-AE10)</f>
        <v>137.42999999999995</v>
      </c>
      <c r="AG10" s="22">
        <f>SUM(AD10/Z10)</f>
        <v>82.696363636363628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88</v>
      </c>
      <c r="Y11" s="64">
        <f>SUM((AA11*3)+AB11)</f>
        <v>16</v>
      </c>
      <c r="Z11" s="64">
        <f>SUM(AA11+AB11+AC11)</f>
        <v>11</v>
      </c>
      <c r="AA11" s="64">
        <f>COUNTIFS($G$3:$G$228,X11,$B$3:$B$228,"V")+COUNTIFS($K$3:$K$228,X11,$P$3:$P$228,"V")</f>
        <v>5</v>
      </c>
      <c r="AB11" s="64">
        <f>COUNTIFS($G$3:$G$228,X11,$B$3:$B$228,"E",$H$3:$H$228,"&lt;&gt;"&amp;"")+COUNTIFS($K$3:$K$228,X11,$P$3:$P$228,"E",$J$3:$J$228,"&lt;&gt;"&amp;"")</f>
        <v>1</v>
      </c>
      <c r="AC11" s="64">
        <f>COUNTIFS($G$3:$G$228,X11,$B$3:$B$228,"D")+COUNTIFS($K$3:$K$228,X11,$P$3:$P$228,"D")</f>
        <v>5</v>
      </c>
      <c r="AD11" s="64">
        <f>SUMIFS($C$3:$C$228,$G$3:$G$228,X11)+SUMIFS($O$3:$O$228,$K$3:$K$228,X11)</f>
        <v>957.38000000000011</v>
      </c>
      <c r="AE11" s="64">
        <f>SUMIFS($D$3:$D$228,$G$3:$G$228,X11)+SUMIFS($N$3:$N$228,$K$3:$K$228,X11)</f>
        <v>928.12999999999988</v>
      </c>
      <c r="AF11" s="64">
        <f>SUM(AD11-AE11)</f>
        <v>29.250000000000227</v>
      </c>
      <c r="AG11" s="22">
        <f>SUM(AD11/Z11)</f>
        <v>87.034545454545466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66</v>
      </c>
      <c r="Y12" s="65">
        <f>SUM((AA12*3)+AB12)</f>
        <v>15</v>
      </c>
      <c r="Z12" s="65">
        <f>SUM(AA12+AB12+AC12)</f>
        <v>11</v>
      </c>
      <c r="AA12" s="64">
        <f>COUNTIFS($G$3:$G$228,X12,$B$3:$B$228,"V")+COUNTIFS($K$3:$K$228,X12,$P$3:$P$228,"V")</f>
        <v>5</v>
      </c>
      <c r="AB12" s="64">
        <f>COUNTIFS($G$3:$G$228,X12,$B$3:$B$228,"E",$H$3:$H$228,"&lt;&gt;"&amp;"")+COUNTIFS($K$3:$K$228,X12,$P$3:$P$228,"E",$J$3:$J$228,"&lt;&gt;"&amp;"")</f>
        <v>0</v>
      </c>
      <c r="AC12" s="64">
        <f>COUNTIFS($G$3:$G$228,X12,$B$3:$B$228,"D")+COUNTIFS($K$3:$K$228,X12,$P$3:$P$228,"D")</f>
        <v>6</v>
      </c>
      <c r="AD12" s="64">
        <f>SUMIFS($C$3:$C$228,$G$3:$G$228,X12)+SUMIFS($O$3:$O$228,$K$3:$K$228,X12)</f>
        <v>713.76</v>
      </c>
      <c r="AE12" s="64">
        <f>SUMIFS($D$3:$D$228,$G$3:$G$228,X12)+SUMIFS($N$3:$N$228,$K$3:$K$228,X12)</f>
        <v>814.19</v>
      </c>
      <c r="AF12" s="65">
        <f>SUM(AD12-AE12)</f>
        <v>-100.43000000000006</v>
      </c>
      <c r="AG12" s="22">
        <f>SUM(AD12/Z12)</f>
        <v>64.88727272727273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70</v>
      </c>
      <c r="Y13" s="41">
        <f>SUM((AA13*3)+AB13)</f>
        <v>15</v>
      </c>
      <c r="Z13" s="41">
        <f>SUM(AA13+AB13+AC13)</f>
        <v>11</v>
      </c>
      <c r="AA13" s="41">
        <f>COUNTIFS($G$3:$G$228,X13,$B$3:$B$228,"V")+COUNTIFS($K$3:$K$228,X13,$P$3:$P$228,"V")</f>
        <v>5</v>
      </c>
      <c r="AB13" s="41">
        <f>COUNTIFS($G$3:$G$228,X13,$B$3:$B$228,"E",$H$3:$H$228,"&lt;&gt;"&amp;"")+COUNTIFS($K$3:$K$228,X13,$P$3:$P$228,"E",$J$3:$J$228,"&lt;&gt;"&amp;"")</f>
        <v>0</v>
      </c>
      <c r="AC13" s="41">
        <f>COUNTIFS($G$3:$G$228,X13,$B$3:$B$228,"D")+COUNTIFS($K$3:$K$228,X13,$P$3:$P$228,"D")</f>
        <v>6</v>
      </c>
      <c r="AD13" s="41">
        <f>SUMIFS($C$3:$C$228,$G$3:$G$228,X13)+SUMIFS($O$3:$O$228,$K$3:$K$228,X13)</f>
        <v>509.62</v>
      </c>
      <c r="AE13" s="41">
        <f>SUMIFS($D$3:$D$228,$G$3:$G$228,X13)+SUMIFS($N$3:$N$228,$K$3:$K$228,X13)</f>
        <v>704.3</v>
      </c>
      <c r="AF13" s="41">
        <f>SUM(AD13-AE13)</f>
        <v>-194.67999999999995</v>
      </c>
      <c r="AG13" s="22">
        <f>SUM(AD13/Z13)</f>
        <v>46.329090909090908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78</v>
      </c>
      <c r="Y14" s="64">
        <f>SUM((AA14*3)+AB14)</f>
        <v>15</v>
      </c>
      <c r="Z14" s="64">
        <f>SUM(AA14+AB14+AC14)</f>
        <v>11</v>
      </c>
      <c r="AA14" s="64">
        <f>COUNTIFS($G$3:$G$228,X14,$B$3:$B$228,"V")+COUNTIFS($K$3:$K$228,X14,$P$3:$P$228,"V")</f>
        <v>4</v>
      </c>
      <c r="AB14" s="64">
        <f>COUNTIFS($G$3:$G$228,X14,$B$3:$B$228,"E",$H$3:$H$228,"&lt;&gt;"&amp;"")+COUNTIFS($K$3:$K$228,X14,$P$3:$P$228,"E",$J$3:$J$228,"&lt;&gt;"&amp;"")</f>
        <v>3</v>
      </c>
      <c r="AC14" s="64">
        <f>COUNTIFS($G$3:$G$228,X14,$B$3:$B$228,"D")+COUNTIFS($K$3:$K$228,X14,$P$3:$P$228,"D")</f>
        <v>4</v>
      </c>
      <c r="AD14" s="64">
        <f>SUMIFS($C$3:$C$228,$G$3:$G$228,X14)+SUMIFS($O$3:$O$228,$K$3:$K$228,X14)</f>
        <v>929.05</v>
      </c>
      <c r="AE14" s="64">
        <f>SUMIFS($D$3:$D$228,$G$3:$G$228,X14)+SUMIFS($N$3:$N$228,$K$3:$K$228,X14)</f>
        <v>653.03</v>
      </c>
      <c r="AF14" s="64">
        <f>SUM(AD14-AE14)</f>
        <v>276.02</v>
      </c>
      <c r="AG14" s="22">
        <f>SUM(AD14/Z14)</f>
        <v>84.459090909090904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63</v>
      </c>
      <c r="Y15" s="42">
        <f>SUM((AA15*3)+AB15)</f>
        <v>14</v>
      </c>
      <c r="Z15" s="42">
        <f>SUM(AA15+AB15+AC15)</f>
        <v>11</v>
      </c>
      <c r="AA15" s="41">
        <f>COUNTIFS($G$3:$G$228,X15,$B$3:$B$228,"V")+COUNTIFS($K$3:$K$228,X15,$P$3:$P$228,"V")</f>
        <v>4</v>
      </c>
      <c r="AB15" s="41">
        <f>COUNTIFS($G$3:$G$228,X15,$B$3:$B$228,"E",$H$3:$H$228,"&lt;&gt;"&amp;"")+COUNTIFS($K$3:$K$228,X15,$P$3:$P$228,"E",$J$3:$J$228,"&lt;&gt;"&amp;"")</f>
        <v>2</v>
      </c>
      <c r="AC15" s="41">
        <f>COUNTIFS($G$3:$G$228,X15,$B$3:$B$228,"D")+COUNTIFS($K$3:$K$228,X15,$P$3:$P$228,"D")</f>
        <v>5</v>
      </c>
      <c r="AD15" s="41">
        <f>SUMIFS($C$3:$C$228,$G$3:$G$228,X15)+SUMIFS($O$3:$O$228,$K$3:$K$228,X15)</f>
        <v>862.55</v>
      </c>
      <c r="AE15" s="41">
        <f>SUMIFS($D$3:$D$228,$G$3:$G$228,X15)+SUMIFS($N$3:$N$228,$K$3:$K$228,X15)</f>
        <v>751.30000000000007</v>
      </c>
      <c r="AF15" s="65">
        <f>SUM(AD15-AE15)</f>
        <v>111.24999999999989</v>
      </c>
      <c r="AG15" s="22">
        <f>SUM(AD15/Z15)</f>
        <v>78.413636363636357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91</v>
      </c>
      <c r="Y16" s="41">
        <f>SUM((AA16*3)+AB16)</f>
        <v>13</v>
      </c>
      <c r="Z16" s="41">
        <f>SUM(AA16+AB16+AC16)</f>
        <v>11</v>
      </c>
      <c r="AA16" s="41">
        <f>COUNTIFS($G$3:$G$228,X16,$B$3:$B$228,"V")+COUNTIFS($K$3:$K$228,X16,$P$3:$P$228,"V")</f>
        <v>4</v>
      </c>
      <c r="AB16" s="41">
        <f>COUNTIFS($G$3:$G$228,X16,$B$3:$B$228,"E",$H$3:$H$228,"&lt;&gt;"&amp;"")+COUNTIFS($K$3:$K$228,X16,$P$3:$P$228,"E",$J$3:$J$228,"&lt;&gt;"&amp;"")</f>
        <v>1</v>
      </c>
      <c r="AC16" s="41">
        <f>COUNTIFS($G$3:$G$228,X16,$B$3:$B$228,"D")+COUNTIFS($K$3:$K$228,X16,$P$3:$P$228,"D")</f>
        <v>6</v>
      </c>
      <c r="AD16" s="41">
        <f>SUMIFS($C$3:$C$228,$G$3:$G$228,X16)+SUMIFS($O$3:$O$228,$K$3:$K$228,X16)</f>
        <v>842.02</v>
      </c>
      <c r="AE16" s="41">
        <f>SUMIFS($D$3:$D$228,$G$3:$G$228,X16)+SUMIFS($N$3:$N$228,$K$3:$K$228,X16)</f>
        <v>883.83999999999992</v>
      </c>
      <c r="AF16" s="41">
        <f>SUM(AD16-AE16)</f>
        <v>-41.819999999999936</v>
      </c>
      <c r="AG16" s="22">
        <f>SUM(AD16/Z16)</f>
        <v>76.547272727272727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7" t="s">
        <v>85</v>
      </c>
      <c r="Y17" s="41">
        <f>SUM((AA17*3)+AB17)</f>
        <v>11</v>
      </c>
      <c r="Z17" s="41">
        <f>SUM(AA17+AB17+AC17)</f>
        <v>11</v>
      </c>
      <c r="AA17" s="41">
        <f>COUNTIFS($G$3:$G$228,X17,$B$3:$B$228,"V")+COUNTIFS($K$3:$K$228,X17,$P$3:$P$228,"V")</f>
        <v>3</v>
      </c>
      <c r="AB17" s="41">
        <f>COUNTIFS($G$3:$G$228,X17,$B$3:$B$228,"E",$H$3:$H$228,"&lt;&gt;"&amp;"")+COUNTIFS($K$3:$K$228,X17,$P$3:$P$228,"E",$J$3:$J$228,"&lt;&gt;"&amp;"")</f>
        <v>2</v>
      </c>
      <c r="AC17" s="41">
        <f>COUNTIFS($G$3:$G$228,X17,$B$3:$B$228,"D")+COUNTIFS($K$3:$K$228,X17,$P$3:$P$228,"D")</f>
        <v>6</v>
      </c>
      <c r="AD17" s="41">
        <f>SUMIFS($C$3:$C$228,$G$3:$G$228,X17)+SUMIFS($O$3:$O$228,$K$3:$K$228,X17)</f>
        <v>768.99</v>
      </c>
      <c r="AE17" s="41">
        <f>SUMIFS($D$3:$D$228,$G$3:$G$228,X17)+SUMIFS($N$3:$N$228,$K$3:$K$228,X17)</f>
        <v>783.71</v>
      </c>
      <c r="AF17" s="41">
        <f>SUM(AD17-AE17)</f>
        <v>-14.720000000000027</v>
      </c>
      <c r="AG17" s="22">
        <f>SUM(AD17/Z17)</f>
        <v>69.908181818181816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48" t="s">
        <v>71</v>
      </c>
      <c r="Y18" s="41">
        <f>SUM((AA18*3)+AB18)</f>
        <v>11</v>
      </c>
      <c r="Z18" s="41">
        <f>SUM(AA18+AB18+AC18)</f>
        <v>11</v>
      </c>
      <c r="AA18" s="41">
        <f>COUNTIFS($G$3:$G$228,X18,$B$3:$B$228,"V")+COUNTIFS($K$3:$K$228,X18,$P$3:$P$228,"V")</f>
        <v>3</v>
      </c>
      <c r="AB18" s="41">
        <f>COUNTIFS($G$3:$G$228,X18,$B$3:$B$228,"E",$H$3:$H$228,"&lt;&gt;"&amp;"")+COUNTIFS($K$3:$K$228,X18,$P$3:$P$228,"E",$J$3:$J$228,"&lt;&gt;"&amp;"")</f>
        <v>2</v>
      </c>
      <c r="AC18" s="41">
        <f>COUNTIFS($G$3:$G$228,X18,$B$3:$B$228,"D")+COUNTIFS($K$3:$K$228,X18,$P$3:$P$228,"D")</f>
        <v>6</v>
      </c>
      <c r="AD18" s="41">
        <f>SUMIFS($C$3:$C$228,$G$3:$G$228,X18)+SUMIFS($O$3:$O$228,$K$3:$K$228,X18)</f>
        <v>615.83000000000004</v>
      </c>
      <c r="AE18" s="41">
        <f>SUMIFS($D$3:$D$228,$G$3:$G$228,X18)+SUMIFS($N$3:$N$228,$K$3:$K$228,X18)</f>
        <v>826.46</v>
      </c>
      <c r="AF18" s="41">
        <f>SUM(AD18-AE18)</f>
        <v>-210.63</v>
      </c>
      <c r="AG18" s="22">
        <f>SUM(AD18/Z18)</f>
        <v>55.984545454545461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7" t="s">
        <v>93</v>
      </c>
      <c r="Y19" s="41">
        <f>SUM((AA19*3)+AB19)</f>
        <v>10</v>
      </c>
      <c r="Z19" s="41">
        <f>SUM(AA19+AB19+AC19)</f>
        <v>11</v>
      </c>
      <c r="AA19" s="41">
        <f>COUNTIFS($G$3:$G$228,X19,$B$3:$B$228,"V")+COUNTIFS($K$3:$K$228,X19,$P$3:$P$228,"V")</f>
        <v>2</v>
      </c>
      <c r="AB19" s="41">
        <f>COUNTIFS($G$3:$G$228,X19,$B$3:$B$228,"E",$H$3:$H$228,"&lt;&gt;"&amp;"")+COUNTIFS($K$3:$K$228,X19,$P$3:$P$228,"E",$J$3:$J$228,"&lt;&gt;"&amp;"")</f>
        <v>4</v>
      </c>
      <c r="AC19" s="41">
        <f>COUNTIFS($G$3:$G$228,X19,$B$3:$B$228,"D")+COUNTIFS($K$3:$K$228,X19,$P$3:$P$228,"D")</f>
        <v>5</v>
      </c>
      <c r="AD19" s="41">
        <f>SUMIFS($C$3:$C$228,$G$3:$G$228,X19)+SUMIFS($O$3:$O$228,$K$3:$K$228,X19)</f>
        <v>1004.99</v>
      </c>
      <c r="AE19" s="41">
        <f>SUMIFS($D$3:$D$228,$G$3:$G$228,X19)+SUMIFS($N$3:$N$228,$K$3:$K$228,X19)</f>
        <v>989.26</v>
      </c>
      <c r="AF19" s="41">
        <f>SUM(AD19-AE19)</f>
        <v>15.730000000000018</v>
      </c>
      <c r="AG19" s="22">
        <f>SUM(AD19/Z19)</f>
        <v>91.36272727272727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89</v>
      </c>
      <c r="Y20" s="64">
        <f>SUM((AA20*3)+AB20)</f>
        <v>7</v>
      </c>
      <c r="Z20" s="64">
        <f>SUM(AA20+AB20+AC20)</f>
        <v>11</v>
      </c>
      <c r="AA20" s="64">
        <f>COUNTIFS($G$3:$G$228,X20,$B$3:$B$228,"V")+COUNTIFS($K$3:$K$228,X20,$P$3:$P$228,"V")</f>
        <v>2</v>
      </c>
      <c r="AB20" s="64">
        <f>COUNTIFS($G$3:$G$228,X20,$B$3:$B$228,"E",$H$3:$H$228,"&lt;&gt;"&amp;"")+COUNTIFS($K$3:$K$228,X20,$P$3:$P$228,"E",$J$3:$J$228,"&lt;&gt;"&amp;"")</f>
        <v>1</v>
      </c>
      <c r="AC20" s="64">
        <f>COUNTIFS($G$3:$G$228,X20,$B$3:$B$228,"D")+COUNTIFS($K$3:$K$228,X20,$P$3:$P$228,"D")</f>
        <v>8</v>
      </c>
      <c r="AD20" s="64">
        <f>SUMIFS($C$3:$C$228,$G$3:$G$228,X20)+SUMIFS($O$3:$O$228,$K$3:$K$228,X20)</f>
        <v>524.22</v>
      </c>
      <c r="AE20" s="64">
        <f>SUMIFS($D$3:$D$228,$G$3:$G$228,X20)+SUMIFS($N$3:$N$228,$K$3:$K$228,X20)</f>
        <v>939.34999999999991</v>
      </c>
      <c r="AF20" s="64">
        <f>SUM(AD20-AE20)</f>
        <v>-415.12999999999988</v>
      </c>
      <c r="AG20" s="22">
        <f>SUM(AD20/Z20)</f>
        <v>47.656363636363636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7" t="s">
        <v>61</v>
      </c>
      <c r="Y21" s="42">
        <f>SUM((AA21*3)+AB21)</f>
        <v>5</v>
      </c>
      <c r="Z21" s="42">
        <f>SUM(AA21+AB21+AC21)</f>
        <v>11</v>
      </c>
      <c r="AA21" s="41">
        <f>COUNTIFS($G$3:$G$228,X21,$B$3:$B$228,"V")+COUNTIFS($K$3:$K$228,X21,$P$3:$P$228,"V")</f>
        <v>1</v>
      </c>
      <c r="AB21" s="41">
        <f>COUNTIFS($G$3:$G$228,X21,$B$3:$B$228,"E",$H$3:$H$228,"&lt;&gt;"&amp;"")+COUNTIFS($K$3:$K$228,X21,$P$3:$P$228,"E",$J$3:$J$228,"&lt;&gt;"&amp;"")</f>
        <v>2</v>
      </c>
      <c r="AC21" s="41">
        <f>COUNTIFS($G$3:$G$228,X21,$B$3:$B$228,"D")+COUNTIFS($K$3:$K$228,X21,$P$3:$P$228,"D")</f>
        <v>8</v>
      </c>
      <c r="AD21" s="41">
        <f>SUMIFS($C$3:$C$228,$G$3:$G$228,X21)+SUMIFS($O$3:$O$228,$K$3:$K$228,X21)</f>
        <v>563.77</v>
      </c>
      <c r="AE21" s="41">
        <f>SUMIFS($D$3:$D$228,$G$3:$G$228,X21)+SUMIFS($N$3:$N$228,$K$3:$K$228,X21)</f>
        <v>890.44999999999993</v>
      </c>
      <c r="AF21" s="42">
        <f>SUM(AD21-AE21)</f>
        <v>-326.67999999999995</v>
      </c>
      <c r="AG21" s="22">
        <f>SUM(AD21/Z21)</f>
        <v>51.25181818181818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0</v>
      </c>
      <c r="Z22" s="46">
        <f>SUM(AA22+AB22+AC22)</f>
        <v>11</v>
      </c>
      <c r="AA22" s="46">
        <f>COUNTIFS($G$3:$G$228,X22,$B$3:$B$228,"V")+COUNTIFS($K$3:$K$228,X22,$P$3:$P$228,"V")</f>
        <v>0</v>
      </c>
      <c r="AB22" s="46">
        <f>COUNTIFS($G$3:$G$228,X22,$B$3:$B$228,"E",$H$3:$H$228,"&lt;&gt;"&amp;"")+COUNTIFS($K$3:$K$228,X22,$P$3:$P$228,"E",$J$3:$J$228,"&lt;&gt;"&amp;"")</f>
        <v>0</v>
      </c>
      <c r="AC22" s="46">
        <f>COUNTIFS($G$3:$G$228,X22,$B$3:$B$228,"D")+COUNTIFS($K$3:$K$228,X22,$P$3:$P$228,"D")</f>
        <v>11</v>
      </c>
      <c r="AD22" s="46">
        <f>SUMIFS($C$3:$C$228,$G$3:$G$228,X22)+SUMIFS($O$3:$O$228,$K$3:$K$228,X22)</f>
        <v>116.25999999999999</v>
      </c>
      <c r="AE22" s="46">
        <f>SUMIFS($D$3:$D$228,$G$3:$G$228,X22)+SUMIFS($N$3:$N$228,$K$3:$K$228,X22)</f>
        <v>1019.6099999999999</v>
      </c>
      <c r="AF22" s="46">
        <f>SUM(AD22-AE22)</f>
        <v>-903.34999999999991</v>
      </c>
      <c r="AG22" s="23">
        <f>SUM(AD22/Z22)</f>
        <v>10.569090909090908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-45.47999999999999</v>
      </c>
      <c r="B51" s="5" t="str">
        <f t="shared" si="8"/>
        <v>D</v>
      </c>
      <c r="C51" s="5">
        <f t="shared" si="2"/>
        <v>73.290000000000006</v>
      </c>
      <c r="D51" s="5">
        <f t="shared" si="3"/>
        <v>118.77</v>
      </c>
      <c r="E51" s="4"/>
      <c r="F51" s="50" t="s">
        <v>84</v>
      </c>
      <c r="G51" s="2" t="s">
        <v>85</v>
      </c>
      <c r="H51" s="72">
        <v>73.290000000000006</v>
      </c>
      <c r="I51" s="1" t="s">
        <v>52</v>
      </c>
      <c r="J51" s="66">
        <v>118.77</v>
      </c>
      <c r="K51" s="2" t="s">
        <v>86</v>
      </c>
      <c r="L51" s="50" t="s">
        <v>87</v>
      </c>
      <c r="M51" s="4"/>
      <c r="N51" s="5">
        <f t="shared" si="4"/>
        <v>73.290000000000006</v>
      </c>
      <c r="O51" s="5">
        <f t="shared" si="5"/>
        <v>118.77</v>
      </c>
      <c r="P51" s="5" t="str">
        <f t="shared" si="6"/>
        <v>V</v>
      </c>
      <c r="Q51" s="5">
        <f t="shared" si="7"/>
        <v>45.47999999999999</v>
      </c>
      <c r="X51" s="27"/>
    </row>
    <row r="52" spans="1:24" ht="17.25" customHeight="1" x14ac:dyDescent="0.25">
      <c r="A52" s="5">
        <f t="shared" si="0"/>
        <v>35.839999999999989</v>
      </c>
      <c r="B52" s="5" t="str">
        <f t="shared" si="8"/>
        <v>V</v>
      </c>
      <c r="C52" s="5">
        <f t="shared" si="2"/>
        <v>127.82</v>
      </c>
      <c r="D52" s="5">
        <f t="shared" si="3"/>
        <v>91.98</v>
      </c>
      <c r="E52" s="4"/>
      <c r="F52" s="50" t="s">
        <v>100</v>
      </c>
      <c r="G52" s="2" t="s">
        <v>99</v>
      </c>
      <c r="H52" s="66">
        <v>127.82</v>
      </c>
      <c r="I52" s="1" t="s">
        <v>52</v>
      </c>
      <c r="J52" s="72">
        <v>91.98</v>
      </c>
      <c r="K52" s="2" t="s">
        <v>91</v>
      </c>
      <c r="L52" s="50" t="s">
        <v>92</v>
      </c>
      <c r="M52" s="4"/>
      <c r="N52" s="5">
        <f t="shared" si="4"/>
        <v>127.82</v>
      </c>
      <c r="O52" s="5">
        <f t="shared" si="5"/>
        <v>91.98</v>
      </c>
      <c r="P52" s="5" t="str">
        <f t="shared" si="6"/>
        <v>D</v>
      </c>
      <c r="Q52" s="5">
        <f t="shared" si="7"/>
        <v>-35.839999999999989</v>
      </c>
      <c r="X52" s="27"/>
    </row>
    <row r="53" spans="1:24" ht="17.25" customHeight="1" x14ac:dyDescent="0.25">
      <c r="A53" s="5">
        <f t="shared" si="0"/>
        <v>-53.720000000000006</v>
      </c>
      <c r="B53" s="5" t="str">
        <f t="shared" si="8"/>
        <v>D</v>
      </c>
      <c r="C53" s="5">
        <f t="shared" si="2"/>
        <v>63.9</v>
      </c>
      <c r="D53" s="5">
        <f t="shared" si="3"/>
        <v>117.62</v>
      </c>
      <c r="E53" s="4"/>
      <c r="F53" s="50" t="s">
        <v>65</v>
      </c>
      <c r="G53" s="2" t="s">
        <v>60</v>
      </c>
      <c r="H53" s="72">
        <v>63.9</v>
      </c>
      <c r="I53" s="1" t="s">
        <v>52</v>
      </c>
      <c r="J53" s="66">
        <v>117.62</v>
      </c>
      <c r="K53" s="2" t="s">
        <v>78</v>
      </c>
      <c r="L53" s="50" t="s">
        <v>77</v>
      </c>
      <c r="M53" s="4"/>
      <c r="N53" s="5">
        <f t="shared" si="4"/>
        <v>63.9</v>
      </c>
      <c r="O53" s="5">
        <f t="shared" si="5"/>
        <v>117.62</v>
      </c>
      <c r="P53" s="5" t="str">
        <f t="shared" si="6"/>
        <v>V</v>
      </c>
      <c r="Q53" s="5">
        <f t="shared" si="7"/>
        <v>53.720000000000006</v>
      </c>
      <c r="X53" s="28"/>
    </row>
    <row r="54" spans="1:24" ht="17.25" customHeight="1" x14ac:dyDescent="0.25">
      <c r="A54" s="5">
        <f t="shared" si="0"/>
        <v>7.730000000000004</v>
      </c>
      <c r="B54" s="5" t="str">
        <f t="shared" si="8"/>
        <v>V</v>
      </c>
      <c r="C54" s="5">
        <f t="shared" si="2"/>
        <v>93.9</v>
      </c>
      <c r="D54" s="5">
        <f t="shared" si="3"/>
        <v>86.17</v>
      </c>
      <c r="E54" s="4"/>
      <c r="F54" s="50" t="s">
        <v>67</v>
      </c>
      <c r="G54" s="2" t="s">
        <v>66</v>
      </c>
      <c r="H54" s="66">
        <v>93.9</v>
      </c>
      <c r="I54" s="1" t="s">
        <v>52</v>
      </c>
      <c r="J54" s="72">
        <v>86.17</v>
      </c>
      <c r="K54" s="2" t="s">
        <v>61</v>
      </c>
      <c r="L54" s="50" t="s">
        <v>62</v>
      </c>
      <c r="M54" s="4"/>
      <c r="N54" s="5">
        <f t="shared" si="4"/>
        <v>93.9</v>
      </c>
      <c r="O54" s="5">
        <f t="shared" si="5"/>
        <v>86.17</v>
      </c>
      <c r="P54" s="5" t="str">
        <f t="shared" si="6"/>
        <v>D</v>
      </c>
      <c r="Q54" s="5">
        <f t="shared" si="7"/>
        <v>-7.730000000000004</v>
      </c>
      <c r="X54" s="27"/>
    </row>
    <row r="55" spans="1:24" ht="17.25" customHeight="1" x14ac:dyDescent="0.25">
      <c r="A55" s="5">
        <f t="shared" si="0"/>
        <v>1.2000000000000028</v>
      </c>
      <c r="B55" s="5" t="str">
        <f t="shared" si="8"/>
        <v>E</v>
      </c>
      <c r="C55" s="5">
        <f t="shared" si="2"/>
        <v>118.77</v>
      </c>
      <c r="D55" s="5">
        <f t="shared" si="3"/>
        <v>117.57</v>
      </c>
      <c r="E55" s="4"/>
      <c r="F55" s="50" t="s">
        <v>94</v>
      </c>
      <c r="G55" s="2" t="s">
        <v>93</v>
      </c>
      <c r="H55" s="67">
        <v>118.77</v>
      </c>
      <c r="I55" s="1" t="s">
        <v>52</v>
      </c>
      <c r="J55" s="67">
        <v>117.57</v>
      </c>
      <c r="K55" s="2" t="s">
        <v>88</v>
      </c>
      <c r="L55" s="50" t="s">
        <v>75</v>
      </c>
      <c r="M55" s="4"/>
      <c r="N55" s="5">
        <f t="shared" si="4"/>
        <v>118.77</v>
      </c>
      <c r="O55" s="5">
        <f t="shared" si="5"/>
        <v>117.57</v>
      </c>
      <c r="P55" s="5" t="str">
        <f t="shared" si="6"/>
        <v>E</v>
      </c>
      <c r="Q55" s="5">
        <f t="shared" si="7"/>
        <v>-1.2000000000000028</v>
      </c>
      <c r="X55" s="28"/>
    </row>
    <row r="56" spans="1:24" ht="17.25" customHeight="1" x14ac:dyDescent="0.25">
      <c r="A56" s="5">
        <f t="shared" si="0"/>
        <v>50.109999999999992</v>
      </c>
      <c r="B56" s="5" t="str">
        <f t="shared" si="8"/>
        <v>V</v>
      </c>
      <c r="C56" s="5">
        <f t="shared" si="2"/>
        <v>84.57</v>
      </c>
      <c r="D56" s="5">
        <f t="shared" si="3"/>
        <v>34.46</v>
      </c>
      <c r="E56" s="4"/>
      <c r="F56" s="50" t="s">
        <v>64</v>
      </c>
      <c r="G56" s="2" t="s">
        <v>63</v>
      </c>
      <c r="H56" s="66">
        <v>84.57</v>
      </c>
      <c r="I56" s="1" t="s">
        <v>52</v>
      </c>
      <c r="J56" s="72">
        <v>34.46</v>
      </c>
      <c r="K56" s="2" t="s">
        <v>71</v>
      </c>
      <c r="L56" s="50" t="s">
        <v>74</v>
      </c>
      <c r="M56" s="4"/>
      <c r="N56" s="5">
        <f t="shared" si="4"/>
        <v>84.57</v>
      </c>
      <c r="O56" s="5">
        <f t="shared" si="5"/>
        <v>34.46</v>
      </c>
      <c r="P56" s="5" t="str">
        <f t="shared" si="6"/>
        <v>D</v>
      </c>
      <c r="Q56" s="5">
        <f t="shared" si="7"/>
        <v>-50.109999999999992</v>
      </c>
      <c r="X56" s="27"/>
    </row>
    <row r="57" spans="1:24" ht="17.25" customHeight="1" x14ac:dyDescent="0.25">
      <c r="A57" s="5">
        <f t="shared" si="0"/>
        <v>61.749999999999993</v>
      </c>
      <c r="B57" s="5" t="str">
        <f t="shared" si="8"/>
        <v>V</v>
      </c>
      <c r="C57" s="5">
        <f t="shared" si="2"/>
        <v>116.82</v>
      </c>
      <c r="D57" s="5">
        <f t="shared" si="3"/>
        <v>55.07</v>
      </c>
      <c r="E57" s="4"/>
      <c r="F57" s="50" t="s">
        <v>72</v>
      </c>
      <c r="G57" s="2" t="s">
        <v>69</v>
      </c>
      <c r="H57" s="66">
        <v>116.82</v>
      </c>
      <c r="I57" s="1" t="s">
        <v>52</v>
      </c>
      <c r="J57" s="72">
        <v>55.07</v>
      </c>
      <c r="K57" s="2" t="s">
        <v>89</v>
      </c>
      <c r="L57" s="50" t="s">
        <v>90</v>
      </c>
      <c r="M57" s="4"/>
      <c r="N57" s="5">
        <f t="shared" si="4"/>
        <v>116.82</v>
      </c>
      <c r="O57" s="5">
        <f t="shared" si="5"/>
        <v>55.07</v>
      </c>
      <c r="P57" s="5" t="str">
        <f t="shared" si="6"/>
        <v>D</v>
      </c>
      <c r="Q57" s="5">
        <f t="shared" si="7"/>
        <v>-61.749999999999993</v>
      </c>
      <c r="X57" s="27"/>
    </row>
    <row r="58" spans="1:24" ht="17.25" customHeight="1" x14ac:dyDescent="0.25">
      <c r="A58" s="5">
        <f t="shared" si="0"/>
        <v>4.7199999999999989</v>
      </c>
      <c r="B58" s="5" t="str">
        <f t="shared" si="8"/>
        <v>E</v>
      </c>
      <c r="C58" s="5">
        <f t="shared" si="2"/>
        <v>112.09</v>
      </c>
      <c r="D58" s="5">
        <f t="shared" si="3"/>
        <v>107.37</v>
      </c>
      <c r="E58" s="4"/>
      <c r="F58" s="50" t="s">
        <v>76</v>
      </c>
      <c r="G58" s="2" t="s">
        <v>83</v>
      </c>
      <c r="H58" s="67">
        <v>112.09</v>
      </c>
      <c r="I58" s="1" t="s">
        <v>52</v>
      </c>
      <c r="J58" s="67">
        <v>107.37</v>
      </c>
      <c r="K58" s="2" t="s">
        <v>81</v>
      </c>
      <c r="L58" s="50" t="s">
        <v>82</v>
      </c>
      <c r="M58" s="4"/>
      <c r="N58" s="5">
        <f t="shared" si="4"/>
        <v>112.09</v>
      </c>
      <c r="O58" s="5">
        <f t="shared" si="5"/>
        <v>107.37</v>
      </c>
      <c r="P58" s="5" t="str">
        <f t="shared" si="6"/>
        <v>E</v>
      </c>
      <c r="Q58" s="5">
        <f t="shared" si="7"/>
        <v>-4.7199999999999989</v>
      </c>
      <c r="X58" s="27"/>
    </row>
    <row r="59" spans="1:24" ht="17.25" customHeight="1" x14ac:dyDescent="0.25">
      <c r="A59" s="5">
        <f t="shared" si="0"/>
        <v>10.810000000000002</v>
      </c>
      <c r="B59" s="5" t="str">
        <f t="shared" si="8"/>
        <v>V</v>
      </c>
      <c r="C59" s="5">
        <f t="shared" si="2"/>
        <v>101.41</v>
      </c>
      <c r="D59" s="5">
        <f t="shared" si="3"/>
        <v>90.6</v>
      </c>
      <c r="E59" s="4"/>
      <c r="F59" s="50" t="s">
        <v>73</v>
      </c>
      <c r="G59" s="2" t="s">
        <v>70</v>
      </c>
      <c r="H59" s="66">
        <v>101.41</v>
      </c>
      <c r="I59" s="1" t="s">
        <v>52</v>
      </c>
      <c r="J59" s="72">
        <v>90.6</v>
      </c>
      <c r="K59" s="2" t="s">
        <v>95</v>
      </c>
      <c r="L59" s="50" t="s">
        <v>96</v>
      </c>
      <c r="M59" s="4"/>
      <c r="N59" s="5">
        <f t="shared" si="4"/>
        <v>101.41</v>
      </c>
      <c r="O59" s="5">
        <f t="shared" si="5"/>
        <v>90.6</v>
      </c>
      <c r="P59" s="5" t="str">
        <f t="shared" si="6"/>
        <v>D</v>
      </c>
      <c r="Q59" s="5">
        <f t="shared" si="7"/>
        <v>-10.810000000000002</v>
      </c>
      <c r="X59" s="27"/>
    </row>
    <row r="60" spans="1:24" ht="17.25" customHeight="1" x14ac:dyDescent="0.25">
      <c r="A60" s="5">
        <f t="shared" si="0"/>
        <v>16.339999999999989</v>
      </c>
      <c r="B60" s="5" t="str">
        <f t="shared" si="8"/>
        <v>V</v>
      </c>
      <c r="C60" s="5">
        <f t="shared" si="2"/>
        <v>112.52</v>
      </c>
      <c r="D60" s="5">
        <f t="shared" si="3"/>
        <v>96.18</v>
      </c>
      <c r="E60" s="4"/>
      <c r="F60" s="50" t="s">
        <v>80</v>
      </c>
      <c r="G60" s="2" t="s">
        <v>79</v>
      </c>
      <c r="H60" s="66">
        <v>112.52</v>
      </c>
      <c r="I60" s="1" t="s">
        <v>52</v>
      </c>
      <c r="J60" s="72">
        <v>96.18</v>
      </c>
      <c r="K60" s="2" t="s">
        <v>97</v>
      </c>
      <c r="L60" s="50" t="s">
        <v>98</v>
      </c>
      <c r="M60" s="4"/>
      <c r="N60" s="5">
        <f t="shared" si="4"/>
        <v>112.52</v>
      </c>
      <c r="O60" s="5">
        <f t="shared" si="5"/>
        <v>96.18</v>
      </c>
      <c r="P60" s="5" t="str">
        <f t="shared" si="6"/>
        <v>D</v>
      </c>
      <c r="Q60" s="5">
        <f t="shared" si="7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16.14</v>
      </c>
      <c r="B63" s="5" t="str">
        <f t="shared" si="8"/>
        <v>V</v>
      </c>
      <c r="C63" s="5">
        <f t="shared" si="2"/>
        <v>95.93</v>
      </c>
      <c r="D63" s="5">
        <f t="shared" si="3"/>
        <v>79.790000000000006</v>
      </c>
      <c r="E63" s="4"/>
      <c r="F63" s="50" t="s">
        <v>82</v>
      </c>
      <c r="G63" s="2" t="s">
        <v>81</v>
      </c>
      <c r="H63" s="66">
        <v>95.93</v>
      </c>
      <c r="I63" s="1" t="s">
        <v>52</v>
      </c>
      <c r="J63" s="72">
        <v>79.790000000000006</v>
      </c>
      <c r="K63" s="2" t="s">
        <v>99</v>
      </c>
      <c r="L63" s="50" t="s">
        <v>100</v>
      </c>
      <c r="M63" s="4"/>
      <c r="N63" s="5">
        <f t="shared" si="4"/>
        <v>95.93</v>
      </c>
      <c r="O63" s="5">
        <f t="shared" si="5"/>
        <v>79.790000000000006</v>
      </c>
      <c r="P63" s="5" t="str">
        <f t="shared" si="6"/>
        <v>D</v>
      </c>
      <c r="Q63" s="5">
        <f t="shared" si="7"/>
        <v>-16.14</v>
      </c>
      <c r="X63" s="27"/>
    </row>
    <row r="64" spans="1:24" ht="17.25" customHeight="1" x14ac:dyDescent="0.25">
      <c r="A64" s="5">
        <f t="shared" si="0"/>
        <v>53.76</v>
      </c>
      <c r="B64" s="5" t="str">
        <f t="shared" si="8"/>
        <v>V</v>
      </c>
      <c r="C64" s="5">
        <f t="shared" si="2"/>
        <v>109.83</v>
      </c>
      <c r="D64" s="5">
        <f t="shared" si="3"/>
        <v>56.07</v>
      </c>
      <c r="E64" s="4"/>
      <c r="F64" s="50" t="s">
        <v>87</v>
      </c>
      <c r="G64" s="2" t="s">
        <v>86</v>
      </c>
      <c r="H64" s="66">
        <v>109.83</v>
      </c>
      <c r="I64" s="1" t="s">
        <v>52</v>
      </c>
      <c r="J64" s="72">
        <v>56.07</v>
      </c>
      <c r="K64" s="2" t="s">
        <v>63</v>
      </c>
      <c r="L64" s="50" t="s">
        <v>64</v>
      </c>
      <c r="M64" s="4"/>
      <c r="N64" s="5">
        <f t="shared" si="4"/>
        <v>109.83</v>
      </c>
      <c r="O64" s="5">
        <f t="shared" si="5"/>
        <v>56.07</v>
      </c>
      <c r="P64" s="5" t="str">
        <f t="shared" si="6"/>
        <v>D</v>
      </c>
      <c r="Q64" s="5">
        <f t="shared" si="7"/>
        <v>-53.76</v>
      </c>
      <c r="X64" s="27"/>
    </row>
    <row r="65" spans="1:24" ht="17.25" customHeight="1" x14ac:dyDescent="0.25">
      <c r="A65" s="5">
        <f t="shared" si="0"/>
        <v>-13.989999999999995</v>
      </c>
      <c r="B65" s="5" t="str">
        <f t="shared" si="8"/>
        <v>D</v>
      </c>
      <c r="C65" s="5">
        <f t="shared" si="2"/>
        <v>90.14</v>
      </c>
      <c r="D65" s="5">
        <f t="shared" si="3"/>
        <v>104.13</v>
      </c>
      <c r="E65" s="4"/>
      <c r="F65" s="50" t="s">
        <v>90</v>
      </c>
      <c r="G65" s="2" t="s">
        <v>89</v>
      </c>
      <c r="H65" s="72">
        <v>90.14</v>
      </c>
      <c r="I65" s="1" t="s">
        <v>52</v>
      </c>
      <c r="J65" s="66">
        <v>104.13</v>
      </c>
      <c r="K65" s="2" t="s">
        <v>93</v>
      </c>
      <c r="L65" s="50" t="s">
        <v>94</v>
      </c>
      <c r="M65" s="4"/>
      <c r="N65" s="5">
        <f t="shared" si="4"/>
        <v>90.14</v>
      </c>
      <c r="O65" s="5">
        <f t="shared" si="5"/>
        <v>104.13</v>
      </c>
      <c r="P65" s="5" t="str">
        <f t="shared" si="6"/>
        <v>V</v>
      </c>
      <c r="Q65" s="5">
        <f t="shared" si="7"/>
        <v>13.989999999999995</v>
      </c>
      <c r="X65" s="28"/>
    </row>
    <row r="66" spans="1:24" ht="17.25" customHeight="1" x14ac:dyDescent="0.25">
      <c r="A66" s="5">
        <f t="shared" si="0"/>
        <v>-17.010000000000005</v>
      </c>
      <c r="B66" s="5" t="str">
        <f t="shared" si="8"/>
        <v>D</v>
      </c>
      <c r="C66" s="5">
        <f t="shared" si="2"/>
        <v>55.64</v>
      </c>
      <c r="D66" s="5">
        <f t="shared" si="3"/>
        <v>72.650000000000006</v>
      </c>
      <c r="E66" s="4"/>
      <c r="F66" s="50" t="s">
        <v>77</v>
      </c>
      <c r="G66" s="2" t="s">
        <v>78</v>
      </c>
      <c r="H66" s="72">
        <v>55.64</v>
      </c>
      <c r="I66" s="1" t="s">
        <v>52</v>
      </c>
      <c r="J66" s="66">
        <v>72.650000000000006</v>
      </c>
      <c r="K66" s="2" t="s">
        <v>85</v>
      </c>
      <c r="L66" s="50" t="s">
        <v>84</v>
      </c>
      <c r="M66" s="4"/>
      <c r="N66" s="5">
        <f t="shared" si="4"/>
        <v>55.64</v>
      </c>
      <c r="O66" s="5">
        <f t="shared" si="5"/>
        <v>72.650000000000006</v>
      </c>
      <c r="P66" s="5" t="str">
        <f t="shared" si="6"/>
        <v>V</v>
      </c>
      <c r="Q66" s="5">
        <f t="shared" si="7"/>
        <v>17.010000000000005</v>
      </c>
      <c r="X66" s="27"/>
    </row>
    <row r="67" spans="1:24" ht="17.25" customHeight="1" x14ac:dyDescent="0.25">
      <c r="A67" s="5">
        <f t="shared" si="0"/>
        <v>-87.39</v>
      </c>
      <c r="B67" s="5" t="str">
        <f t="shared" si="8"/>
        <v>D</v>
      </c>
      <c r="C67" s="5">
        <f t="shared" si="2"/>
        <v>0</v>
      </c>
      <c r="D67" s="5">
        <f t="shared" si="3"/>
        <v>87.39</v>
      </c>
      <c r="E67" s="4"/>
      <c r="F67" s="50" t="s">
        <v>74</v>
      </c>
      <c r="G67" s="2" t="s">
        <v>71</v>
      </c>
      <c r="H67" s="72">
        <v>0</v>
      </c>
      <c r="I67" s="1" t="s">
        <v>52</v>
      </c>
      <c r="J67" s="66">
        <v>87.39</v>
      </c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87.39</v>
      </c>
      <c r="P67" s="5" t="str">
        <f t="shared" si="6"/>
        <v>V</v>
      </c>
      <c r="Q67" s="5">
        <f t="shared" si="7"/>
        <v>87.39</v>
      </c>
      <c r="X67" s="27"/>
    </row>
    <row r="68" spans="1:24" ht="17.25" customHeight="1" x14ac:dyDescent="0.25">
      <c r="A68" s="5">
        <f t="shared" ref="A68:A131" si="9">C68-D68</f>
        <v>-43.070000000000007</v>
      </c>
      <c r="B68" s="5" t="str">
        <f t="shared" si="8"/>
        <v>D</v>
      </c>
      <c r="C68" s="5">
        <f t="shared" ref="C68:C131" si="10">H68</f>
        <v>68.959999999999994</v>
      </c>
      <c r="D68" s="5">
        <f t="shared" ref="D68:D131" si="11">J68</f>
        <v>112.03</v>
      </c>
      <c r="E68" s="4"/>
      <c r="F68" s="50" t="s">
        <v>92</v>
      </c>
      <c r="G68" s="2" t="s">
        <v>91</v>
      </c>
      <c r="H68" s="72">
        <v>68.959999999999994</v>
      </c>
      <c r="I68" s="1" t="s">
        <v>52</v>
      </c>
      <c r="J68" s="66">
        <v>112.03</v>
      </c>
      <c r="K68" s="2" t="s">
        <v>79</v>
      </c>
      <c r="L68" s="50" t="s">
        <v>80</v>
      </c>
      <c r="M68" s="4"/>
      <c r="N68" s="5">
        <f t="shared" ref="N68:N131" si="12">H68</f>
        <v>68.959999999999994</v>
      </c>
      <c r="O68" s="5">
        <f t="shared" ref="O68:O131" si="13">J68</f>
        <v>112.03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43.070000000000007</v>
      </c>
      <c r="X68" s="27"/>
    </row>
    <row r="69" spans="1:24" ht="17.25" customHeight="1" x14ac:dyDescent="0.25">
      <c r="A69" s="5">
        <f t="shared" si="9"/>
        <v>104.71</v>
      </c>
      <c r="B69" s="5" t="str">
        <f t="shared" si="8"/>
        <v>V</v>
      </c>
      <c r="C69" s="5">
        <f t="shared" si="10"/>
        <v>104.71</v>
      </c>
      <c r="D69" s="5">
        <f t="shared" si="11"/>
        <v>0</v>
      </c>
      <c r="E69" s="4"/>
      <c r="F69" s="50" t="s">
        <v>96</v>
      </c>
      <c r="G69" s="2" t="s">
        <v>95</v>
      </c>
      <c r="H69" s="66">
        <v>104.71</v>
      </c>
      <c r="I69" s="1" t="s">
        <v>52</v>
      </c>
      <c r="J69" s="72">
        <v>0</v>
      </c>
      <c r="K69" s="2" t="s">
        <v>60</v>
      </c>
      <c r="L69" s="50" t="s">
        <v>65</v>
      </c>
      <c r="M69" s="4"/>
      <c r="N69" s="5">
        <f t="shared" si="12"/>
        <v>104.71</v>
      </c>
      <c r="O69" s="5">
        <f t="shared" si="13"/>
        <v>0</v>
      </c>
      <c r="P69" s="5" t="str">
        <f t="shared" si="14"/>
        <v>D</v>
      </c>
      <c r="Q69" s="5">
        <f t="shared" si="15"/>
        <v>-104.71</v>
      </c>
      <c r="X69" s="27"/>
    </row>
    <row r="70" spans="1:24" ht="17.25" customHeight="1" x14ac:dyDescent="0.25">
      <c r="A70" s="5">
        <f t="shared" si="9"/>
        <v>-49.559999999999995</v>
      </c>
      <c r="B70" s="5" t="str">
        <f t="shared" si="8"/>
        <v>D</v>
      </c>
      <c r="C70" s="5">
        <f t="shared" si="10"/>
        <v>49.63</v>
      </c>
      <c r="D70" s="5">
        <f t="shared" si="11"/>
        <v>99.19</v>
      </c>
      <c r="E70" s="4"/>
      <c r="F70" s="50" t="s">
        <v>62</v>
      </c>
      <c r="G70" s="2" t="s">
        <v>61</v>
      </c>
      <c r="H70" s="72">
        <v>49.63</v>
      </c>
      <c r="I70" s="1" t="s">
        <v>52</v>
      </c>
      <c r="J70" s="66">
        <v>99.19</v>
      </c>
      <c r="K70" s="2" t="s">
        <v>69</v>
      </c>
      <c r="L70" s="50" t="s">
        <v>72</v>
      </c>
      <c r="M70" s="4"/>
      <c r="N70" s="5">
        <f t="shared" si="12"/>
        <v>49.63</v>
      </c>
      <c r="O70" s="5">
        <f t="shared" si="13"/>
        <v>99.19</v>
      </c>
      <c r="P70" s="5" t="str">
        <f t="shared" si="14"/>
        <v>V</v>
      </c>
      <c r="Q70" s="5">
        <f t="shared" si="15"/>
        <v>49.559999999999995</v>
      </c>
      <c r="X70" s="28"/>
    </row>
    <row r="71" spans="1:24" ht="17.25" customHeight="1" x14ac:dyDescent="0.25">
      <c r="A71" s="5">
        <f t="shared" si="9"/>
        <v>-10.669999999999987</v>
      </c>
      <c r="B71" s="5" t="str">
        <f t="shared" si="8"/>
        <v>D</v>
      </c>
      <c r="C71" s="5">
        <f t="shared" si="10"/>
        <v>88.68</v>
      </c>
      <c r="D71" s="5">
        <f t="shared" si="11"/>
        <v>99.35</v>
      </c>
      <c r="E71" s="4"/>
      <c r="F71" s="50" t="s">
        <v>75</v>
      </c>
      <c r="G71" s="2" t="s">
        <v>88</v>
      </c>
      <c r="H71" s="72">
        <v>88.68</v>
      </c>
      <c r="I71" s="1" t="s">
        <v>52</v>
      </c>
      <c r="J71" s="66">
        <v>99.35</v>
      </c>
      <c r="K71" s="2" t="s">
        <v>66</v>
      </c>
      <c r="L71" s="50" t="s">
        <v>67</v>
      </c>
      <c r="M71" s="4"/>
      <c r="N71" s="5">
        <f t="shared" si="12"/>
        <v>88.68</v>
      </c>
      <c r="O71" s="5">
        <f t="shared" si="13"/>
        <v>99.35</v>
      </c>
      <c r="P71" s="5" t="str">
        <f t="shared" si="14"/>
        <v>V</v>
      </c>
      <c r="Q71" s="5">
        <f t="shared" si="15"/>
        <v>10.669999999999987</v>
      </c>
      <c r="X71" s="27"/>
    </row>
    <row r="72" spans="1:24" ht="17.25" customHeight="1" x14ac:dyDescent="0.25">
      <c r="A72" s="5">
        <f t="shared" si="9"/>
        <v>-12.690000000000005</v>
      </c>
      <c r="B72" s="5" t="str">
        <f t="shared" si="8"/>
        <v>D</v>
      </c>
      <c r="C72" s="5">
        <f t="shared" si="10"/>
        <v>55.15</v>
      </c>
      <c r="D72" s="5">
        <f t="shared" si="11"/>
        <v>67.84</v>
      </c>
      <c r="E72" s="4"/>
      <c r="F72" s="50" t="s">
        <v>98</v>
      </c>
      <c r="G72" s="2" t="s">
        <v>97</v>
      </c>
      <c r="H72" s="72">
        <v>55.15</v>
      </c>
      <c r="I72" s="1" t="s">
        <v>52</v>
      </c>
      <c r="J72" s="66">
        <v>67.84</v>
      </c>
      <c r="K72" s="2" t="s">
        <v>70</v>
      </c>
      <c r="L72" s="50" t="s">
        <v>73</v>
      </c>
      <c r="M72" s="4"/>
      <c r="N72" s="5">
        <f t="shared" si="12"/>
        <v>55.15</v>
      </c>
      <c r="O72" s="5">
        <f t="shared" si="13"/>
        <v>67.84</v>
      </c>
      <c r="P72" s="5" t="str">
        <f t="shared" si="14"/>
        <v>V</v>
      </c>
      <c r="Q72" s="5">
        <f t="shared" si="15"/>
        <v>12.690000000000005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-1.7999999999999972</v>
      </c>
      <c r="B75" s="5" t="str">
        <f t="shared" si="8"/>
        <v>E</v>
      </c>
      <c r="C75" s="5">
        <f t="shared" si="10"/>
        <v>79.91</v>
      </c>
      <c r="D75" s="5">
        <f t="shared" si="11"/>
        <v>81.709999999999994</v>
      </c>
      <c r="E75" s="4"/>
      <c r="F75" s="50" t="s">
        <v>82</v>
      </c>
      <c r="G75" s="2" t="s">
        <v>81</v>
      </c>
      <c r="H75" s="67">
        <v>79.91</v>
      </c>
      <c r="I75" s="2" t="s">
        <v>52</v>
      </c>
      <c r="J75" s="67">
        <v>81.709999999999994</v>
      </c>
      <c r="K75" s="2" t="s">
        <v>97</v>
      </c>
      <c r="L75" s="50" t="s">
        <v>98</v>
      </c>
      <c r="M75" s="4"/>
      <c r="N75" s="5">
        <f t="shared" si="12"/>
        <v>79.91</v>
      </c>
      <c r="O75" s="5">
        <f t="shared" si="13"/>
        <v>81.709999999999994</v>
      </c>
      <c r="P75" s="5" t="str">
        <f t="shared" si="14"/>
        <v>E</v>
      </c>
      <c r="Q75" s="5">
        <f t="shared" si="15"/>
        <v>1.7999999999999972</v>
      </c>
      <c r="X75" s="27"/>
    </row>
    <row r="76" spans="1:24" ht="17.25" customHeight="1" x14ac:dyDescent="0.25">
      <c r="A76" s="5">
        <f t="shared" si="9"/>
        <v>35.559999999999995</v>
      </c>
      <c r="B76" s="5" t="str">
        <f t="shared" si="8"/>
        <v>V</v>
      </c>
      <c r="C76" s="5">
        <f t="shared" si="10"/>
        <v>81.209999999999994</v>
      </c>
      <c r="D76" s="5">
        <f t="shared" si="11"/>
        <v>45.65</v>
      </c>
      <c r="E76" s="4"/>
      <c r="F76" s="50" t="s">
        <v>87</v>
      </c>
      <c r="G76" s="2" t="s">
        <v>86</v>
      </c>
      <c r="H76" s="66">
        <v>81.209999999999994</v>
      </c>
      <c r="I76" s="2" t="s">
        <v>52</v>
      </c>
      <c r="J76" s="69">
        <v>45.65</v>
      </c>
      <c r="K76" s="2" t="s">
        <v>61</v>
      </c>
      <c r="L76" s="50" t="s">
        <v>62</v>
      </c>
      <c r="M76" s="4"/>
      <c r="N76" s="5">
        <f t="shared" si="12"/>
        <v>81.209999999999994</v>
      </c>
      <c r="O76" s="5">
        <f t="shared" si="13"/>
        <v>45.65</v>
      </c>
      <c r="P76" s="5" t="str">
        <f t="shared" si="14"/>
        <v>D</v>
      </c>
      <c r="Q76" s="5">
        <f t="shared" si="15"/>
        <v>-35.559999999999995</v>
      </c>
      <c r="X76" s="27"/>
    </row>
    <row r="77" spans="1:24" ht="17.25" customHeight="1" x14ac:dyDescent="0.25">
      <c r="A77" s="5">
        <f t="shared" si="9"/>
        <v>-93.57</v>
      </c>
      <c r="B77" s="5" t="str">
        <f t="shared" si="8"/>
        <v>D</v>
      </c>
      <c r="C77" s="5">
        <f t="shared" si="10"/>
        <v>0</v>
      </c>
      <c r="D77" s="5">
        <f t="shared" si="11"/>
        <v>93.57</v>
      </c>
      <c r="E77" s="4"/>
      <c r="F77" s="50" t="s">
        <v>65</v>
      </c>
      <c r="G77" s="2" t="s">
        <v>60</v>
      </c>
      <c r="H77" s="69">
        <v>0</v>
      </c>
      <c r="I77" s="2" t="s">
        <v>52</v>
      </c>
      <c r="J77" s="66">
        <v>93.57</v>
      </c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93.57</v>
      </c>
      <c r="P77" s="5" t="str">
        <f t="shared" si="14"/>
        <v>V</v>
      </c>
      <c r="Q77" s="5">
        <f t="shared" si="15"/>
        <v>93.57</v>
      </c>
      <c r="X77" s="27"/>
    </row>
    <row r="78" spans="1:24" ht="17.25" customHeight="1" x14ac:dyDescent="0.25">
      <c r="A78" s="5">
        <f t="shared" si="9"/>
        <v>-5.0100000000000051</v>
      </c>
      <c r="B78" s="5" t="str">
        <f t="shared" si="8"/>
        <v>D</v>
      </c>
      <c r="C78" s="5">
        <f t="shared" si="10"/>
        <v>72.599999999999994</v>
      </c>
      <c r="D78" s="5">
        <f t="shared" si="11"/>
        <v>77.61</v>
      </c>
      <c r="E78" s="4"/>
      <c r="F78" s="50" t="s">
        <v>77</v>
      </c>
      <c r="G78" s="2" t="s">
        <v>78</v>
      </c>
      <c r="H78" s="69">
        <v>72.599999999999994</v>
      </c>
      <c r="I78" s="2" t="s">
        <v>52</v>
      </c>
      <c r="J78" s="66">
        <v>77.61</v>
      </c>
      <c r="K78" s="2" t="s">
        <v>99</v>
      </c>
      <c r="L78" s="50" t="s">
        <v>100</v>
      </c>
      <c r="M78" s="4"/>
      <c r="N78" s="5">
        <f t="shared" si="12"/>
        <v>72.599999999999994</v>
      </c>
      <c r="O78" s="5">
        <f t="shared" si="13"/>
        <v>77.61</v>
      </c>
      <c r="P78" s="5" t="str">
        <f t="shared" si="14"/>
        <v>V</v>
      </c>
      <c r="Q78" s="5">
        <f t="shared" si="15"/>
        <v>5.0100000000000051</v>
      </c>
      <c r="X78" s="27"/>
    </row>
    <row r="79" spans="1:24" ht="17.25" customHeight="1" x14ac:dyDescent="0.25">
      <c r="A79" s="5">
        <f t="shared" si="9"/>
        <v>17.79</v>
      </c>
      <c r="B79" s="5" t="str">
        <f t="shared" ref="B79:B142" si="16">_xlfn.IFS(A79&gt;=5,"V",A79&lt;=-5,"D",A79&lt;=-4.99,"E",A79&lt;=4.99,"E")</f>
        <v>V</v>
      </c>
      <c r="C79" s="5">
        <f t="shared" si="10"/>
        <v>72.89</v>
      </c>
      <c r="D79" s="5">
        <f t="shared" si="11"/>
        <v>55.1</v>
      </c>
      <c r="E79" s="4"/>
      <c r="F79" s="50" t="s">
        <v>74</v>
      </c>
      <c r="G79" s="2" t="s">
        <v>71</v>
      </c>
      <c r="H79" s="66">
        <v>72.89</v>
      </c>
      <c r="I79" s="2" t="s">
        <v>52</v>
      </c>
      <c r="J79" s="69">
        <v>55.1</v>
      </c>
      <c r="K79" s="2" t="s">
        <v>89</v>
      </c>
      <c r="L79" s="50" t="s">
        <v>90</v>
      </c>
      <c r="M79" s="4"/>
      <c r="N79" s="5">
        <f t="shared" si="12"/>
        <v>72.89</v>
      </c>
      <c r="O79" s="5">
        <f t="shared" si="13"/>
        <v>55.1</v>
      </c>
      <c r="P79" s="5" t="str">
        <f t="shared" si="14"/>
        <v>D</v>
      </c>
      <c r="Q79" s="5">
        <f t="shared" si="15"/>
        <v>-17.79</v>
      </c>
      <c r="X79" s="28"/>
    </row>
    <row r="80" spans="1:24" ht="17.25" customHeight="1" x14ac:dyDescent="0.25">
      <c r="A80" s="5">
        <f t="shared" si="9"/>
        <v>-25.460000000000008</v>
      </c>
      <c r="B80" s="5" t="str">
        <f t="shared" si="16"/>
        <v>D</v>
      </c>
      <c r="C80" s="5">
        <f t="shared" si="10"/>
        <v>49.69</v>
      </c>
      <c r="D80" s="5">
        <f t="shared" si="11"/>
        <v>75.150000000000006</v>
      </c>
      <c r="E80" s="4"/>
      <c r="F80" s="50" t="s">
        <v>92</v>
      </c>
      <c r="G80" s="2" t="s">
        <v>91</v>
      </c>
      <c r="H80" s="69">
        <v>49.69</v>
      </c>
      <c r="I80" s="2" t="s">
        <v>52</v>
      </c>
      <c r="J80" s="66">
        <v>75.150000000000006</v>
      </c>
      <c r="K80" s="2" t="s">
        <v>69</v>
      </c>
      <c r="L80" s="50" t="s">
        <v>72</v>
      </c>
      <c r="M80" s="4"/>
      <c r="N80" s="5">
        <f t="shared" si="12"/>
        <v>49.69</v>
      </c>
      <c r="O80" s="5">
        <f t="shared" si="13"/>
        <v>75.150000000000006</v>
      </c>
      <c r="P80" s="5" t="str">
        <f t="shared" si="14"/>
        <v>V</v>
      </c>
      <c r="Q80" s="5">
        <f t="shared" si="15"/>
        <v>25.460000000000008</v>
      </c>
      <c r="X80" s="27"/>
    </row>
    <row r="81" spans="1:34" ht="17.25" customHeight="1" x14ac:dyDescent="0.25">
      <c r="A81" s="5">
        <f t="shared" si="9"/>
        <v>21.9</v>
      </c>
      <c r="B81" s="5" t="str">
        <f t="shared" si="16"/>
        <v>V</v>
      </c>
      <c r="C81" s="5">
        <f t="shared" si="10"/>
        <v>75.66</v>
      </c>
      <c r="D81" s="5">
        <f t="shared" si="11"/>
        <v>53.76</v>
      </c>
      <c r="E81" s="4"/>
      <c r="F81" s="50" t="s">
        <v>96</v>
      </c>
      <c r="G81" s="2" t="s">
        <v>95</v>
      </c>
      <c r="H81" s="66">
        <v>75.66</v>
      </c>
      <c r="I81" s="2" t="s">
        <v>52</v>
      </c>
      <c r="J81" s="69">
        <v>53.76</v>
      </c>
      <c r="K81" s="2" t="s">
        <v>85</v>
      </c>
      <c r="L81" s="50" t="s">
        <v>84</v>
      </c>
      <c r="M81" s="4"/>
      <c r="N81" s="5">
        <f t="shared" si="12"/>
        <v>75.66</v>
      </c>
      <c r="O81" s="5">
        <f t="shared" si="13"/>
        <v>53.76</v>
      </c>
      <c r="P81" s="5" t="str">
        <f t="shared" si="14"/>
        <v>D</v>
      </c>
      <c r="Q81" s="5">
        <f t="shared" si="15"/>
        <v>-21.9</v>
      </c>
      <c r="X81" s="27"/>
    </row>
    <row r="82" spans="1:34" ht="17.25" customHeight="1" x14ac:dyDescent="0.25">
      <c r="A82" s="5">
        <f t="shared" si="9"/>
        <v>21.679999999999993</v>
      </c>
      <c r="B82" s="5" t="str">
        <f t="shared" si="16"/>
        <v>V</v>
      </c>
      <c r="C82" s="5">
        <f t="shared" si="10"/>
        <v>97.86</v>
      </c>
      <c r="D82" s="5">
        <f t="shared" si="11"/>
        <v>76.180000000000007</v>
      </c>
      <c r="E82" s="4"/>
      <c r="F82" s="50" t="s">
        <v>76</v>
      </c>
      <c r="G82" s="2" t="s">
        <v>83</v>
      </c>
      <c r="H82" s="66">
        <v>97.86</v>
      </c>
      <c r="I82" s="2" t="s">
        <v>52</v>
      </c>
      <c r="J82" s="69">
        <v>76.180000000000007</v>
      </c>
      <c r="K82" s="2" t="s">
        <v>66</v>
      </c>
      <c r="L82" s="50" t="s">
        <v>67</v>
      </c>
      <c r="M82" s="4"/>
      <c r="N82" s="5">
        <f t="shared" si="12"/>
        <v>97.86</v>
      </c>
      <c r="O82" s="5">
        <f t="shared" si="13"/>
        <v>76.180000000000007</v>
      </c>
      <c r="P82" s="5" t="str">
        <f t="shared" si="14"/>
        <v>D</v>
      </c>
      <c r="Q82" s="5">
        <f t="shared" si="15"/>
        <v>-21.679999999999993</v>
      </c>
      <c r="X82" s="27"/>
    </row>
    <row r="83" spans="1:34" ht="17.25" customHeight="1" x14ac:dyDescent="0.25">
      <c r="A83" s="5">
        <f t="shared" si="9"/>
        <v>-71.86</v>
      </c>
      <c r="B83" s="5" t="str">
        <f t="shared" si="16"/>
        <v>D</v>
      </c>
      <c r="C83" s="5">
        <f t="shared" si="10"/>
        <v>0</v>
      </c>
      <c r="D83" s="5">
        <f t="shared" si="11"/>
        <v>71.86</v>
      </c>
      <c r="E83" s="4"/>
      <c r="F83" s="50" t="s">
        <v>73</v>
      </c>
      <c r="G83" s="2" t="s">
        <v>70</v>
      </c>
      <c r="H83" s="69">
        <v>0</v>
      </c>
      <c r="I83" s="2" t="s">
        <v>52</v>
      </c>
      <c r="J83" s="66">
        <v>71.86</v>
      </c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71.86</v>
      </c>
      <c r="P83" s="5" t="str">
        <f t="shared" si="14"/>
        <v>V</v>
      </c>
      <c r="Q83" s="5">
        <f t="shared" si="15"/>
        <v>71.86</v>
      </c>
      <c r="X83" s="27"/>
    </row>
    <row r="84" spans="1:34" ht="17.25" customHeight="1" x14ac:dyDescent="0.25">
      <c r="A84" s="5">
        <f t="shared" si="9"/>
        <v>14.590000000000003</v>
      </c>
      <c r="B84" s="5" t="str">
        <f t="shared" si="16"/>
        <v>V</v>
      </c>
      <c r="C84" s="5">
        <f t="shared" si="10"/>
        <v>95.8</v>
      </c>
      <c r="D84" s="5">
        <f t="shared" si="11"/>
        <v>81.209999999999994</v>
      </c>
      <c r="E84" s="4"/>
      <c r="F84" s="50" t="s">
        <v>80</v>
      </c>
      <c r="G84" s="2" t="s">
        <v>79</v>
      </c>
      <c r="H84" s="66">
        <v>95.8</v>
      </c>
      <c r="I84" s="2" t="s">
        <v>52</v>
      </c>
      <c r="J84" s="69">
        <v>81.209999999999994</v>
      </c>
      <c r="K84" s="2" t="s">
        <v>93</v>
      </c>
      <c r="L84" s="50" t="s">
        <v>94</v>
      </c>
      <c r="M84" s="4"/>
      <c r="N84" s="5">
        <f t="shared" si="12"/>
        <v>95.8</v>
      </c>
      <c r="O84" s="5">
        <f t="shared" si="13"/>
        <v>81.209999999999994</v>
      </c>
      <c r="P84" s="5" t="str">
        <f t="shared" si="14"/>
        <v>D</v>
      </c>
      <c r="Q84" s="5">
        <f t="shared" si="15"/>
        <v>-14.590000000000003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-15.149999999999991</v>
      </c>
      <c r="B87" s="5" t="str">
        <f t="shared" si="16"/>
        <v>D</v>
      </c>
      <c r="C87" s="5">
        <f t="shared" si="10"/>
        <v>61.84</v>
      </c>
      <c r="D87" s="5">
        <f t="shared" si="11"/>
        <v>76.989999999999995</v>
      </c>
      <c r="E87" s="4"/>
      <c r="F87" s="50" t="s">
        <v>84</v>
      </c>
      <c r="G87" s="2" t="s">
        <v>85</v>
      </c>
      <c r="H87" s="69">
        <v>61.84</v>
      </c>
      <c r="I87" s="2" t="s">
        <v>52</v>
      </c>
      <c r="J87" s="66">
        <v>76.989999999999995</v>
      </c>
      <c r="K87" s="2" t="s">
        <v>88</v>
      </c>
      <c r="L87" s="50" t="s">
        <v>75</v>
      </c>
      <c r="M87" s="4"/>
      <c r="N87" s="5">
        <f t="shared" si="12"/>
        <v>61.84</v>
      </c>
      <c r="O87" s="5">
        <f t="shared" si="13"/>
        <v>76.989999999999995</v>
      </c>
      <c r="P87" s="5" t="str">
        <f t="shared" si="14"/>
        <v>V</v>
      </c>
      <c r="Q87" s="5">
        <f t="shared" si="15"/>
        <v>15.149999999999991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-16.819999999999993</v>
      </c>
      <c r="B88" s="5" t="str">
        <f t="shared" si="16"/>
        <v>D</v>
      </c>
      <c r="C88" s="5">
        <f t="shared" si="10"/>
        <v>78.540000000000006</v>
      </c>
      <c r="D88" s="5">
        <f t="shared" si="11"/>
        <v>95.36</v>
      </c>
      <c r="E88" s="4"/>
      <c r="F88" s="50" t="s">
        <v>100</v>
      </c>
      <c r="G88" s="2" t="s">
        <v>99</v>
      </c>
      <c r="H88" s="69">
        <v>78.540000000000006</v>
      </c>
      <c r="I88" s="2" t="s">
        <v>52</v>
      </c>
      <c r="J88" s="66">
        <v>95.36</v>
      </c>
      <c r="K88" s="2" t="s">
        <v>83</v>
      </c>
      <c r="L88" s="50" t="s">
        <v>76</v>
      </c>
      <c r="M88" s="4"/>
      <c r="N88" s="5">
        <f t="shared" si="12"/>
        <v>78.540000000000006</v>
      </c>
      <c r="O88" s="5">
        <f t="shared" si="13"/>
        <v>95.36</v>
      </c>
      <c r="P88" s="5" t="str">
        <f t="shared" si="14"/>
        <v>V</v>
      </c>
      <c r="Q88" s="5">
        <f t="shared" si="15"/>
        <v>16.819999999999993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4.7600000000000051</v>
      </c>
      <c r="B89" s="5" t="str">
        <f t="shared" si="16"/>
        <v>E</v>
      </c>
      <c r="C89" s="5">
        <f t="shared" si="10"/>
        <v>73.06</v>
      </c>
      <c r="D89" s="5">
        <f t="shared" si="11"/>
        <v>68.3</v>
      </c>
      <c r="E89" s="4"/>
      <c r="F89" s="50" t="s">
        <v>90</v>
      </c>
      <c r="G89" s="2" t="s">
        <v>89</v>
      </c>
      <c r="H89" s="67">
        <v>73.06</v>
      </c>
      <c r="I89" s="2" t="s">
        <v>52</v>
      </c>
      <c r="J89" s="67">
        <v>68.3</v>
      </c>
      <c r="K89" s="2" t="s">
        <v>81</v>
      </c>
      <c r="L89" s="50" t="s">
        <v>82</v>
      </c>
      <c r="M89" s="4"/>
      <c r="N89" s="5">
        <f t="shared" si="12"/>
        <v>73.06</v>
      </c>
      <c r="O89" s="5">
        <f t="shared" si="13"/>
        <v>68.3</v>
      </c>
      <c r="P89" s="5" t="str">
        <f t="shared" si="14"/>
        <v>E</v>
      </c>
      <c r="Q89" s="5">
        <f t="shared" si="15"/>
        <v>-4.7600000000000051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79.900000000000006</v>
      </c>
      <c r="B90" s="5" t="str">
        <f t="shared" si="16"/>
        <v>V</v>
      </c>
      <c r="C90" s="5">
        <f t="shared" si="10"/>
        <v>79.900000000000006</v>
      </c>
      <c r="D90" s="5">
        <f t="shared" si="11"/>
        <v>0</v>
      </c>
      <c r="E90" s="4"/>
      <c r="F90" s="50" t="s">
        <v>67</v>
      </c>
      <c r="G90" s="2" t="s">
        <v>66</v>
      </c>
      <c r="H90" s="66">
        <v>79.900000000000006</v>
      </c>
      <c r="I90" s="2" t="s">
        <v>52</v>
      </c>
      <c r="J90" s="69">
        <v>0</v>
      </c>
      <c r="K90" s="2" t="s">
        <v>60</v>
      </c>
      <c r="L90" s="50" t="s">
        <v>65</v>
      </c>
      <c r="M90" s="4"/>
      <c r="N90" s="5">
        <f t="shared" si="12"/>
        <v>79.900000000000006</v>
      </c>
      <c r="O90" s="5">
        <f t="shared" si="13"/>
        <v>0</v>
      </c>
      <c r="P90" s="5" t="str">
        <f t="shared" si="14"/>
        <v>D</v>
      </c>
      <c r="Q90" s="5">
        <f t="shared" si="15"/>
        <v>-79.900000000000006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-36.840000000000003</v>
      </c>
      <c r="B91" s="5" t="str">
        <f t="shared" si="16"/>
        <v>D</v>
      </c>
      <c r="C91" s="5">
        <f t="shared" si="10"/>
        <v>55</v>
      </c>
      <c r="D91" s="5">
        <f t="shared" si="11"/>
        <v>91.84</v>
      </c>
      <c r="E91" s="4"/>
      <c r="F91" s="50" t="s">
        <v>94</v>
      </c>
      <c r="G91" s="2" t="s">
        <v>93</v>
      </c>
      <c r="H91" s="69">
        <v>55</v>
      </c>
      <c r="I91" s="2" t="s">
        <v>52</v>
      </c>
      <c r="J91" s="66">
        <v>91.84</v>
      </c>
      <c r="K91" s="2" t="s">
        <v>86</v>
      </c>
      <c r="L91" s="50" t="s">
        <v>87</v>
      </c>
      <c r="M91" s="4"/>
      <c r="N91" s="5">
        <f t="shared" si="12"/>
        <v>55</v>
      </c>
      <c r="O91" s="5">
        <f t="shared" si="13"/>
        <v>91.84</v>
      </c>
      <c r="P91" s="5" t="str">
        <f t="shared" si="14"/>
        <v>V</v>
      </c>
      <c r="Q91" s="5">
        <f t="shared" si="15"/>
        <v>36.840000000000003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-23.970000000000006</v>
      </c>
      <c r="B92" s="5" t="str">
        <f t="shared" si="16"/>
        <v>D</v>
      </c>
      <c r="C92" s="5">
        <f t="shared" si="10"/>
        <v>56.62</v>
      </c>
      <c r="D92" s="5">
        <f t="shared" si="11"/>
        <v>80.59</v>
      </c>
      <c r="E92" s="4"/>
      <c r="F92" s="50" t="s">
        <v>64</v>
      </c>
      <c r="G92" s="2" t="s">
        <v>63</v>
      </c>
      <c r="H92" s="69">
        <v>56.62</v>
      </c>
      <c r="I92" s="2" t="s">
        <v>52</v>
      </c>
      <c r="J92" s="66">
        <v>80.59</v>
      </c>
      <c r="K92" s="2" t="s">
        <v>95</v>
      </c>
      <c r="L92" s="50" t="s">
        <v>96</v>
      </c>
      <c r="M92" s="4"/>
      <c r="N92" s="5">
        <f t="shared" si="12"/>
        <v>56.62</v>
      </c>
      <c r="O92" s="5">
        <f t="shared" si="13"/>
        <v>80.59</v>
      </c>
      <c r="P92" s="5" t="str">
        <f t="shared" si="14"/>
        <v>V</v>
      </c>
      <c r="Q92" s="5">
        <f t="shared" si="15"/>
        <v>23.970000000000006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-2.2999999999999972</v>
      </c>
      <c r="B93" s="5" t="str">
        <f t="shared" si="16"/>
        <v>E</v>
      </c>
      <c r="C93" s="5">
        <f t="shared" si="10"/>
        <v>84.34</v>
      </c>
      <c r="D93" s="5">
        <f t="shared" si="11"/>
        <v>86.64</v>
      </c>
      <c r="E93" s="4"/>
      <c r="F93" s="50" t="s">
        <v>72</v>
      </c>
      <c r="G93" s="2" t="s">
        <v>69</v>
      </c>
      <c r="H93" s="67">
        <v>84.34</v>
      </c>
      <c r="I93" s="2" t="s">
        <v>52</v>
      </c>
      <c r="J93" s="67">
        <v>86.64</v>
      </c>
      <c r="K93" s="2" t="s">
        <v>79</v>
      </c>
      <c r="L93" s="50" t="s">
        <v>80</v>
      </c>
      <c r="M93" s="4"/>
      <c r="N93" s="5">
        <f t="shared" si="12"/>
        <v>84.34</v>
      </c>
      <c r="O93" s="5">
        <f t="shared" si="13"/>
        <v>86.64</v>
      </c>
      <c r="P93" s="5" t="str">
        <f t="shared" si="14"/>
        <v>E</v>
      </c>
      <c r="Q93" s="5">
        <f t="shared" si="15"/>
        <v>2.2999999999999972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16.190000000000005</v>
      </c>
      <c r="B94" s="5" t="str">
        <f t="shared" si="16"/>
        <v>V</v>
      </c>
      <c r="C94" s="5">
        <f t="shared" si="10"/>
        <v>59.13</v>
      </c>
      <c r="D94" s="5">
        <f t="shared" si="11"/>
        <v>42.94</v>
      </c>
      <c r="E94" s="4"/>
      <c r="F94" s="50" t="s">
        <v>62</v>
      </c>
      <c r="G94" s="2" t="s">
        <v>61</v>
      </c>
      <c r="H94" s="66">
        <v>59.13</v>
      </c>
      <c r="I94" s="2" t="s">
        <v>52</v>
      </c>
      <c r="J94" s="69">
        <v>42.94</v>
      </c>
      <c r="K94" s="2" t="s">
        <v>71</v>
      </c>
      <c r="L94" s="50" t="s">
        <v>74</v>
      </c>
      <c r="M94" s="4"/>
      <c r="N94" s="5">
        <f t="shared" si="12"/>
        <v>59.13</v>
      </c>
      <c r="O94" s="5">
        <f t="shared" si="13"/>
        <v>42.94</v>
      </c>
      <c r="P94" s="5" t="str">
        <f t="shared" si="14"/>
        <v>D</v>
      </c>
      <c r="Q94" s="5">
        <f t="shared" si="15"/>
        <v>-16.190000000000005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-65.239999999999995</v>
      </c>
      <c r="B95" s="5" t="str">
        <f t="shared" si="16"/>
        <v>D</v>
      </c>
      <c r="C95" s="5">
        <f t="shared" si="10"/>
        <v>0</v>
      </c>
      <c r="D95" s="5">
        <f t="shared" si="11"/>
        <v>65.239999999999995</v>
      </c>
      <c r="E95" s="4"/>
      <c r="F95" s="50" t="s">
        <v>73</v>
      </c>
      <c r="G95" s="2" t="s">
        <v>70</v>
      </c>
      <c r="H95" s="69">
        <v>0</v>
      </c>
      <c r="I95" s="2" t="s">
        <v>52</v>
      </c>
      <c r="J95" s="66">
        <v>65.239999999999995</v>
      </c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65.239999999999995</v>
      </c>
      <c r="P95" s="5" t="str">
        <f t="shared" si="14"/>
        <v>V</v>
      </c>
      <c r="Q95" s="5">
        <f t="shared" si="15"/>
        <v>65.239999999999995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23.159999999999997</v>
      </c>
      <c r="B96" s="5" t="str">
        <f t="shared" si="16"/>
        <v>V</v>
      </c>
      <c r="C96" s="5">
        <f t="shared" si="10"/>
        <v>69.849999999999994</v>
      </c>
      <c r="D96" s="5">
        <f t="shared" si="11"/>
        <v>46.69</v>
      </c>
      <c r="E96" s="4"/>
      <c r="F96" s="50" t="s">
        <v>98</v>
      </c>
      <c r="G96" s="2" t="s">
        <v>97</v>
      </c>
      <c r="H96" s="66">
        <v>69.849999999999994</v>
      </c>
      <c r="I96" s="2" t="s">
        <v>52</v>
      </c>
      <c r="J96" s="69">
        <v>46.69</v>
      </c>
      <c r="K96" s="2" t="s">
        <v>91</v>
      </c>
      <c r="L96" s="50" t="s">
        <v>92</v>
      </c>
      <c r="M96" s="4"/>
      <c r="N96" s="5">
        <f t="shared" si="12"/>
        <v>69.849999999999994</v>
      </c>
      <c r="O96" s="5">
        <f t="shared" si="13"/>
        <v>46.69</v>
      </c>
      <c r="P96" s="5" t="str">
        <f t="shared" si="14"/>
        <v>D</v>
      </c>
      <c r="Q96" s="5">
        <f t="shared" si="15"/>
        <v>-23.159999999999997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7.9499999999999957</v>
      </c>
      <c r="B99" s="5" t="str">
        <f t="shared" si="16"/>
        <v>V</v>
      </c>
      <c r="C99" s="5">
        <f t="shared" si="10"/>
        <v>71.069999999999993</v>
      </c>
      <c r="D99" s="5">
        <f t="shared" si="11"/>
        <v>63.12</v>
      </c>
      <c r="E99" s="4"/>
      <c r="F99" s="50" t="s">
        <v>82</v>
      </c>
      <c r="G99" s="2" t="s">
        <v>81</v>
      </c>
      <c r="H99" s="66">
        <v>71.069999999999993</v>
      </c>
      <c r="I99" s="2" t="s">
        <v>52</v>
      </c>
      <c r="J99" s="69">
        <v>63.12</v>
      </c>
      <c r="K99" s="2" t="s">
        <v>85</v>
      </c>
      <c r="L99" s="50" t="s">
        <v>84</v>
      </c>
      <c r="M99" s="4"/>
      <c r="N99" s="5">
        <f t="shared" si="12"/>
        <v>71.069999999999993</v>
      </c>
      <c r="O99" s="5">
        <f t="shared" si="13"/>
        <v>63.12</v>
      </c>
      <c r="P99" s="5" t="str">
        <f t="shared" si="14"/>
        <v>D</v>
      </c>
      <c r="Q99" s="5">
        <f t="shared" si="15"/>
        <v>-7.9499999999999957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13</v>
      </c>
      <c r="B100" s="5" t="str">
        <f t="shared" si="16"/>
        <v>V</v>
      </c>
      <c r="C100" s="5">
        <f t="shared" si="10"/>
        <v>103.27</v>
      </c>
      <c r="D100" s="5">
        <f t="shared" si="11"/>
        <v>90.27</v>
      </c>
      <c r="E100" s="4"/>
      <c r="F100" s="50" t="s">
        <v>100</v>
      </c>
      <c r="G100" s="2" t="s">
        <v>99</v>
      </c>
      <c r="H100" s="66">
        <v>103.27</v>
      </c>
      <c r="I100" s="2" t="s">
        <v>52</v>
      </c>
      <c r="J100" s="69">
        <v>90.27</v>
      </c>
      <c r="K100" s="2" t="s">
        <v>97</v>
      </c>
      <c r="L100" s="50" t="s">
        <v>98</v>
      </c>
      <c r="M100" s="4"/>
      <c r="N100" s="5">
        <f t="shared" si="12"/>
        <v>103.27</v>
      </c>
      <c r="O100" s="5">
        <f t="shared" si="13"/>
        <v>90.27</v>
      </c>
      <c r="P100" s="5" t="str">
        <f t="shared" si="14"/>
        <v>D</v>
      </c>
      <c r="Q100" s="5">
        <f t="shared" si="15"/>
        <v>-13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23.42</v>
      </c>
      <c r="B101" s="5" t="str">
        <f t="shared" si="16"/>
        <v>V</v>
      </c>
      <c r="C101" s="5">
        <f t="shared" si="10"/>
        <v>88</v>
      </c>
      <c r="D101" s="5">
        <f t="shared" si="11"/>
        <v>64.58</v>
      </c>
      <c r="E101" s="4"/>
      <c r="F101" s="50" t="s">
        <v>90</v>
      </c>
      <c r="G101" s="2" t="s">
        <v>89</v>
      </c>
      <c r="H101" s="66">
        <v>88</v>
      </c>
      <c r="I101" s="2" t="s">
        <v>52</v>
      </c>
      <c r="J101" s="69">
        <v>64.58</v>
      </c>
      <c r="K101" s="2" t="s">
        <v>66</v>
      </c>
      <c r="L101" s="50" t="s">
        <v>67</v>
      </c>
      <c r="M101" s="4"/>
      <c r="N101" s="5">
        <f t="shared" si="12"/>
        <v>88</v>
      </c>
      <c r="O101" s="5">
        <f t="shared" si="13"/>
        <v>64.58</v>
      </c>
      <c r="P101" s="5" t="str">
        <f t="shared" si="14"/>
        <v>D</v>
      </c>
      <c r="Q101" s="5">
        <f t="shared" si="15"/>
        <v>-23.42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-15.200000000000003</v>
      </c>
      <c r="B102" s="5" t="str">
        <f t="shared" si="16"/>
        <v>D</v>
      </c>
      <c r="C102" s="5">
        <f t="shared" si="10"/>
        <v>79.77</v>
      </c>
      <c r="D102" s="5">
        <f t="shared" si="11"/>
        <v>94.97</v>
      </c>
      <c r="E102" s="4"/>
      <c r="F102" s="50" t="s">
        <v>77</v>
      </c>
      <c r="G102" s="2" t="s">
        <v>78</v>
      </c>
      <c r="H102" s="69">
        <v>79.77</v>
      </c>
      <c r="I102" s="2" t="s">
        <v>52</v>
      </c>
      <c r="J102" s="66">
        <v>94.97</v>
      </c>
      <c r="K102" s="2" t="s">
        <v>71</v>
      </c>
      <c r="L102" s="50" t="s">
        <v>74</v>
      </c>
      <c r="M102" s="4"/>
      <c r="N102" s="5">
        <f t="shared" si="12"/>
        <v>79.77</v>
      </c>
      <c r="O102" s="5">
        <f t="shared" si="13"/>
        <v>94.97</v>
      </c>
      <c r="P102" s="5" t="str">
        <f t="shared" si="14"/>
        <v>V</v>
      </c>
      <c r="Q102" s="5">
        <f t="shared" si="15"/>
        <v>15.200000000000003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95.62</v>
      </c>
      <c r="B103" s="5" t="str">
        <f t="shared" si="16"/>
        <v>V</v>
      </c>
      <c r="C103" s="5">
        <f t="shared" si="10"/>
        <v>95.62</v>
      </c>
      <c r="D103" s="5">
        <f t="shared" si="11"/>
        <v>0</v>
      </c>
      <c r="E103" s="4"/>
      <c r="F103" s="50" t="s">
        <v>94</v>
      </c>
      <c r="G103" s="2" t="s">
        <v>93</v>
      </c>
      <c r="H103" s="66">
        <v>95.62</v>
      </c>
      <c r="I103" s="2" t="s">
        <v>52</v>
      </c>
      <c r="J103" s="69">
        <v>0</v>
      </c>
      <c r="K103" s="2" t="s">
        <v>60</v>
      </c>
      <c r="L103" s="50" t="s">
        <v>65</v>
      </c>
      <c r="M103" s="4"/>
      <c r="N103" s="5">
        <f t="shared" si="12"/>
        <v>95.62</v>
      </c>
      <c r="O103" s="5">
        <f t="shared" si="13"/>
        <v>0</v>
      </c>
      <c r="P103" s="5" t="str">
        <f t="shared" si="14"/>
        <v>D</v>
      </c>
      <c r="Q103" s="5">
        <f t="shared" si="15"/>
        <v>-95.62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-19.910000000000011</v>
      </c>
      <c r="B104" s="5" t="str">
        <f t="shared" si="16"/>
        <v>D</v>
      </c>
      <c r="C104" s="5">
        <f t="shared" si="10"/>
        <v>66.27</v>
      </c>
      <c r="D104" s="5">
        <f t="shared" si="11"/>
        <v>86.18</v>
      </c>
      <c r="E104" s="4"/>
      <c r="F104" s="50" t="s">
        <v>64</v>
      </c>
      <c r="G104" s="2" t="s">
        <v>63</v>
      </c>
      <c r="H104" s="69">
        <v>66.27</v>
      </c>
      <c r="I104" s="2" t="s">
        <v>52</v>
      </c>
      <c r="J104" s="66">
        <v>86.18</v>
      </c>
      <c r="K104" s="2" t="s">
        <v>70</v>
      </c>
      <c r="L104" s="50" t="s">
        <v>73</v>
      </c>
      <c r="M104" s="4"/>
      <c r="N104" s="5">
        <f t="shared" si="12"/>
        <v>66.27</v>
      </c>
      <c r="O104" s="5">
        <f t="shared" si="13"/>
        <v>86.18</v>
      </c>
      <c r="P104" s="5" t="str">
        <f t="shared" si="14"/>
        <v>V</v>
      </c>
      <c r="Q104" s="5">
        <f t="shared" si="15"/>
        <v>19.910000000000011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-15.22999999999999</v>
      </c>
      <c r="B105" s="5" t="str">
        <f t="shared" si="16"/>
        <v>D</v>
      </c>
      <c r="C105" s="5">
        <f t="shared" si="10"/>
        <v>77.87</v>
      </c>
      <c r="D105" s="5">
        <f t="shared" si="11"/>
        <v>93.1</v>
      </c>
      <c r="E105" s="4"/>
      <c r="F105" s="50" t="s">
        <v>96</v>
      </c>
      <c r="G105" s="2" t="s">
        <v>95</v>
      </c>
      <c r="H105" s="69">
        <v>77.87</v>
      </c>
      <c r="I105" s="2" t="s">
        <v>52</v>
      </c>
      <c r="J105" s="66">
        <v>93.1</v>
      </c>
      <c r="K105" s="2" t="s">
        <v>91</v>
      </c>
      <c r="L105" s="50" t="s">
        <v>92</v>
      </c>
      <c r="M105" s="4"/>
      <c r="N105" s="5">
        <f t="shared" si="12"/>
        <v>77.87</v>
      </c>
      <c r="O105" s="5">
        <f t="shared" si="13"/>
        <v>93.1</v>
      </c>
      <c r="P105" s="5" t="str">
        <f t="shared" si="14"/>
        <v>V</v>
      </c>
      <c r="Q105" s="5">
        <f t="shared" si="15"/>
        <v>15.22999999999999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-10.600000000000009</v>
      </c>
      <c r="B106" s="5" t="str">
        <f t="shared" si="16"/>
        <v>D</v>
      </c>
      <c r="C106" s="5">
        <f t="shared" si="10"/>
        <v>93.27</v>
      </c>
      <c r="D106" s="5">
        <f t="shared" si="11"/>
        <v>103.87</v>
      </c>
      <c r="E106" s="4"/>
      <c r="F106" s="50" t="s">
        <v>76</v>
      </c>
      <c r="G106" s="2" t="s">
        <v>83</v>
      </c>
      <c r="H106" s="69">
        <v>93.27</v>
      </c>
      <c r="I106" s="2" t="s">
        <v>52</v>
      </c>
      <c r="J106" s="66">
        <v>103.87</v>
      </c>
      <c r="K106" s="2" t="s">
        <v>86</v>
      </c>
      <c r="L106" s="50" t="s">
        <v>87</v>
      </c>
      <c r="M106" s="4"/>
      <c r="N106" s="5">
        <f t="shared" si="12"/>
        <v>93.27</v>
      </c>
      <c r="O106" s="5">
        <f t="shared" si="13"/>
        <v>103.87</v>
      </c>
      <c r="P106" s="5" t="str">
        <f t="shared" si="14"/>
        <v>V</v>
      </c>
      <c r="Q106" s="5">
        <f t="shared" si="15"/>
        <v>10.600000000000009</v>
      </c>
    </row>
    <row r="107" spans="1:34" ht="17.25" customHeight="1" x14ac:dyDescent="0.25">
      <c r="A107" s="5">
        <f t="shared" si="9"/>
        <v>15.310000000000002</v>
      </c>
      <c r="B107" s="5" t="str">
        <f t="shared" si="16"/>
        <v>V</v>
      </c>
      <c r="C107" s="5">
        <f t="shared" si="10"/>
        <v>91.23</v>
      </c>
      <c r="D107" s="5">
        <f t="shared" si="11"/>
        <v>75.92</v>
      </c>
      <c r="E107" s="4"/>
      <c r="F107" s="50" t="s">
        <v>75</v>
      </c>
      <c r="G107" s="2" t="s">
        <v>88</v>
      </c>
      <c r="H107" s="66">
        <v>91.23</v>
      </c>
      <c r="I107" s="2" t="s">
        <v>52</v>
      </c>
      <c r="J107" s="69">
        <v>75.92</v>
      </c>
      <c r="K107" s="2" t="s">
        <v>69</v>
      </c>
      <c r="L107" s="50" t="s">
        <v>72</v>
      </c>
      <c r="M107" s="4"/>
      <c r="N107" s="5">
        <f t="shared" si="12"/>
        <v>91.23</v>
      </c>
      <c r="O107" s="5">
        <f t="shared" si="13"/>
        <v>75.92</v>
      </c>
      <c r="P107" s="5" t="str">
        <f t="shared" si="14"/>
        <v>D</v>
      </c>
      <c r="Q107" s="5">
        <f t="shared" si="15"/>
        <v>-15.310000000000002</v>
      </c>
    </row>
    <row r="108" spans="1:34" ht="17.25" customHeight="1" x14ac:dyDescent="0.25">
      <c r="A108" s="5">
        <f t="shared" si="9"/>
        <v>25.570000000000007</v>
      </c>
      <c r="B108" s="5" t="str">
        <f t="shared" si="16"/>
        <v>V</v>
      </c>
      <c r="C108" s="5">
        <f t="shared" si="10"/>
        <v>95.87</v>
      </c>
      <c r="D108" s="5">
        <f t="shared" si="11"/>
        <v>70.3</v>
      </c>
      <c r="E108" s="4"/>
      <c r="F108" s="50" t="s">
        <v>80</v>
      </c>
      <c r="G108" s="2" t="s">
        <v>79</v>
      </c>
      <c r="H108" s="66">
        <v>95.87</v>
      </c>
      <c r="I108" s="2" t="s">
        <v>52</v>
      </c>
      <c r="J108" s="69">
        <v>70.3</v>
      </c>
      <c r="K108" s="2" t="s">
        <v>61</v>
      </c>
      <c r="L108" s="50" t="s">
        <v>62</v>
      </c>
      <c r="M108" s="4"/>
      <c r="N108" s="5">
        <f t="shared" si="12"/>
        <v>95.87</v>
      </c>
      <c r="O108" s="5">
        <f t="shared" si="13"/>
        <v>70.3</v>
      </c>
      <c r="P108" s="5" t="str">
        <f t="shared" si="14"/>
        <v>D</v>
      </c>
      <c r="Q108" s="5">
        <f t="shared" si="15"/>
        <v>-25.570000000000007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25.290000000000006</v>
      </c>
      <c r="B111" s="5" t="str">
        <f t="shared" si="16"/>
        <v>V</v>
      </c>
      <c r="C111" s="5">
        <f t="shared" si="10"/>
        <v>142.31</v>
      </c>
      <c r="D111" s="5">
        <f t="shared" si="11"/>
        <v>117.02</v>
      </c>
      <c r="E111" s="4"/>
      <c r="F111" s="50" t="s">
        <v>82</v>
      </c>
      <c r="G111" s="2" t="s">
        <v>81</v>
      </c>
      <c r="H111" s="66">
        <v>142.31</v>
      </c>
      <c r="I111" s="2" t="s">
        <v>52</v>
      </c>
      <c r="J111" s="69">
        <v>117.02</v>
      </c>
      <c r="K111" s="2" t="s">
        <v>93</v>
      </c>
      <c r="L111" s="50" t="s">
        <v>94</v>
      </c>
      <c r="M111" s="4"/>
      <c r="N111" s="5">
        <f t="shared" si="12"/>
        <v>142.31</v>
      </c>
      <c r="O111" s="5">
        <f t="shared" si="13"/>
        <v>117.02</v>
      </c>
      <c r="P111" s="5" t="str">
        <f t="shared" si="14"/>
        <v>D</v>
      </c>
      <c r="Q111" s="5">
        <f t="shared" si="15"/>
        <v>-25.290000000000006</v>
      </c>
    </row>
    <row r="112" spans="1:34" ht="17.25" customHeight="1" x14ac:dyDescent="0.25">
      <c r="A112" s="5">
        <f t="shared" si="9"/>
        <v>-29.159999999999997</v>
      </c>
      <c r="B112" s="5" t="str">
        <f t="shared" si="16"/>
        <v>D</v>
      </c>
      <c r="C112" s="5">
        <f t="shared" si="10"/>
        <v>117.16</v>
      </c>
      <c r="D112" s="5">
        <f t="shared" si="11"/>
        <v>146.32</v>
      </c>
      <c r="E112" s="4"/>
      <c r="F112" s="50" t="s">
        <v>87</v>
      </c>
      <c r="G112" s="2" t="s">
        <v>86</v>
      </c>
      <c r="H112" s="69">
        <v>117.16</v>
      </c>
      <c r="I112" s="2" t="s">
        <v>52</v>
      </c>
      <c r="J112" s="66">
        <v>146.32</v>
      </c>
      <c r="K112" s="2" t="s">
        <v>99</v>
      </c>
      <c r="L112" s="50" t="s">
        <v>100</v>
      </c>
      <c r="M112" s="4"/>
      <c r="N112" s="5">
        <f t="shared" si="12"/>
        <v>117.16</v>
      </c>
      <c r="O112" s="5">
        <f t="shared" si="13"/>
        <v>146.32</v>
      </c>
      <c r="P112" s="5" t="str">
        <f t="shared" si="14"/>
        <v>V</v>
      </c>
      <c r="Q112" s="5">
        <f t="shared" si="15"/>
        <v>29.159999999999997</v>
      </c>
    </row>
    <row r="113" spans="1:17" ht="17.25" customHeight="1" x14ac:dyDescent="0.25">
      <c r="A113" s="5">
        <f t="shared" si="9"/>
        <v>-113.46</v>
      </c>
      <c r="B113" s="5" t="str">
        <f t="shared" si="16"/>
        <v>D</v>
      </c>
      <c r="C113" s="5">
        <f t="shared" si="10"/>
        <v>0</v>
      </c>
      <c r="D113" s="5">
        <f t="shared" si="11"/>
        <v>113.46</v>
      </c>
      <c r="E113" s="4"/>
      <c r="F113" s="50" t="s">
        <v>65</v>
      </c>
      <c r="G113" s="2" t="s">
        <v>60</v>
      </c>
      <c r="H113" s="69">
        <v>0</v>
      </c>
      <c r="I113" s="2" t="s">
        <v>52</v>
      </c>
      <c r="J113" s="66">
        <v>113.46</v>
      </c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113.46</v>
      </c>
      <c r="P113" s="5" t="str">
        <f t="shared" si="14"/>
        <v>V</v>
      </c>
      <c r="Q113" s="5">
        <f t="shared" si="15"/>
        <v>113.46</v>
      </c>
    </row>
    <row r="114" spans="1:17" ht="17.25" customHeight="1" x14ac:dyDescent="0.25">
      <c r="A114" s="5">
        <f t="shared" si="9"/>
        <v>99.82</v>
      </c>
      <c r="B114" s="5" t="str">
        <f t="shared" si="16"/>
        <v>V</v>
      </c>
      <c r="C114" s="5">
        <f t="shared" si="10"/>
        <v>99.82</v>
      </c>
      <c r="D114" s="5">
        <f t="shared" si="11"/>
        <v>0</v>
      </c>
      <c r="E114" s="4"/>
      <c r="F114" s="50" t="s">
        <v>77</v>
      </c>
      <c r="G114" s="2" t="s">
        <v>78</v>
      </c>
      <c r="H114" s="66">
        <v>99.82</v>
      </c>
      <c r="I114" s="2" t="s">
        <v>52</v>
      </c>
      <c r="J114" s="69">
        <v>0</v>
      </c>
      <c r="K114" s="2" t="s">
        <v>89</v>
      </c>
      <c r="L114" s="50" t="s">
        <v>90</v>
      </c>
      <c r="M114" s="4"/>
      <c r="N114" s="5">
        <f t="shared" si="12"/>
        <v>99.82</v>
      </c>
      <c r="O114" s="5">
        <f t="shared" si="13"/>
        <v>0</v>
      </c>
      <c r="P114" s="5" t="str">
        <f t="shared" si="14"/>
        <v>D</v>
      </c>
      <c r="Q114" s="5">
        <f t="shared" si="15"/>
        <v>-99.82</v>
      </c>
    </row>
    <row r="115" spans="1:17" ht="17.25" customHeight="1" x14ac:dyDescent="0.25">
      <c r="A115" s="5">
        <f t="shared" si="9"/>
        <v>34.010000000000005</v>
      </c>
      <c r="B115" s="5" t="str">
        <f t="shared" si="16"/>
        <v>V</v>
      </c>
      <c r="C115" s="5">
        <f t="shared" si="10"/>
        <v>122.87</v>
      </c>
      <c r="D115" s="5">
        <f t="shared" si="11"/>
        <v>88.86</v>
      </c>
      <c r="E115" s="4"/>
      <c r="F115" s="50" t="s">
        <v>74</v>
      </c>
      <c r="G115" s="2" t="s">
        <v>71</v>
      </c>
      <c r="H115" s="66">
        <v>122.87</v>
      </c>
      <c r="I115" s="2" t="s">
        <v>52</v>
      </c>
      <c r="J115" s="69">
        <v>88.86</v>
      </c>
      <c r="K115" s="2" t="s">
        <v>66</v>
      </c>
      <c r="L115" s="50" t="s">
        <v>67</v>
      </c>
      <c r="M115" s="4"/>
      <c r="N115" s="5">
        <f t="shared" si="12"/>
        <v>122.87</v>
      </c>
      <c r="O115" s="5">
        <f t="shared" si="13"/>
        <v>88.86</v>
      </c>
      <c r="P115" s="5" t="str">
        <f t="shared" si="14"/>
        <v>D</v>
      </c>
      <c r="Q115" s="5">
        <f t="shared" si="15"/>
        <v>-34.010000000000005</v>
      </c>
    </row>
    <row r="116" spans="1:17" ht="17.25" customHeight="1" x14ac:dyDescent="0.25">
      <c r="A116" s="5">
        <f t="shared" si="9"/>
        <v>33.300000000000011</v>
      </c>
      <c r="B116" s="5" t="str">
        <f t="shared" si="16"/>
        <v>V</v>
      </c>
      <c r="C116" s="5">
        <f t="shared" si="10"/>
        <v>136.74</v>
      </c>
      <c r="D116" s="5">
        <f t="shared" si="11"/>
        <v>103.44</v>
      </c>
      <c r="E116" s="4"/>
      <c r="F116" s="50" t="s">
        <v>92</v>
      </c>
      <c r="G116" s="2" t="s">
        <v>91</v>
      </c>
      <c r="H116" s="66">
        <v>136.74</v>
      </c>
      <c r="I116" s="2" t="s">
        <v>52</v>
      </c>
      <c r="J116" s="69">
        <v>103.44</v>
      </c>
      <c r="K116" s="2" t="s">
        <v>88</v>
      </c>
      <c r="L116" s="50" t="s">
        <v>75</v>
      </c>
      <c r="M116" s="4"/>
      <c r="N116" s="5">
        <f t="shared" si="12"/>
        <v>136.74</v>
      </c>
      <c r="O116" s="5">
        <f t="shared" si="13"/>
        <v>103.44</v>
      </c>
      <c r="P116" s="5" t="str">
        <f>_xlfn.IFS(Q116&gt;=5,"V",Q116&lt;=-5,"D",Q116&lt;=-4.99,"E",Q116&lt;=4.99,"E")</f>
        <v>D</v>
      </c>
      <c r="Q116" s="5">
        <f t="shared" si="15"/>
        <v>-33.300000000000011</v>
      </c>
    </row>
    <row r="117" spans="1:17" ht="17.25" customHeight="1" x14ac:dyDescent="0.25">
      <c r="A117" s="5">
        <f t="shared" si="9"/>
        <v>-54.09</v>
      </c>
      <c r="B117" s="5" t="str">
        <f t="shared" si="16"/>
        <v>D</v>
      </c>
      <c r="C117" s="5">
        <f t="shared" si="10"/>
        <v>68.75</v>
      </c>
      <c r="D117" s="5">
        <f t="shared" si="11"/>
        <v>122.84</v>
      </c>
      <c r="E117" s="4"/>
      <c r="F117" s="50" t="s">
        <v>96</v>
      </c>
      <c r="G117" s="2" t="s">
        <v>95</v>
      </c>
      <c r="H117" s="69">
        <v>68.75</v>
      </c>
      <c r="I117" s="2" t="s">
        <v>52</v>
      </c>
      <c r="J117" s="66">
        <v>122.84</v>
      </c>
      <c r="K117" s="2" t="s">
        <v>97</v>
      </c>
      <c r="L117" s="50" t="s">
        <v>98</v>
      </c>
      <c r="M117" s="4"/>
      <c r="N117" s="5">
        <f t="shared" si="12"/>
        <v>68.75</v>
      </c>
      <c r="O117" s="5">
        <f t="shared" si="13"/>
        <v>122.84</v>
      </c>
      <c r="P117" s="5" t="str">
        <f t="shared" si="14"/>
        <v>V</v>
      </c>
      <c r="Q117" s="5">
        <f t="shared" si="15"/>
        <v>54.09</v>
      </c>
    </row>
    <row r="118" spans="1:17" ht="17.25" customHeight="1" x14ac:dyDescent="0.25">
      <c r="A118" s="5">
        <f t="shared" si="9"/>
        <v>73.929999999999993</v>
      </c>
      <c r="B118" s="5" t="str">
        <f t="shared" si="16"/>
        <v>V</v>
      </c>
      <c r="C118" s="5">
        <f t="shared" si="10"/>
        <v>109.24</v>
      </c>
      <c r="D118" s="5">
        <f t="shared" si="11"/>
        <v>35.31</v>
      </c>
      <c r="E118" s="4"/>
      <c r="F118" s="50" t="s">
        <v>76</v>
      </c>
      <c r="G118" s="2" t="s">
        <v>83</v>
      </c>
      <c r="H118" s="66">
        <v>109.24</v>
      </c>
      <c r="I118" s="2" t="s">
        <v>52</v>
      </c>
      <c r="J118" s="69">
        <v>35.31</v>
      </c>
      <c r="K118" s="2" t="s">
        <v>61</v>
      </c>
      <c r="L118" s="50" t="s">
        <v>62</v>
      </c>
      <c r="M118" s="4"/>
      <c r="N118" s="5">
        <f t="shared" si="12"/>
        <v>109.24</v>
      </c>
      <c r="O118" s="5">
        <f t="shared" si="13"/>
        <v>35.31</v>
      </c>
      <c r="P118" s="5" t="str">
        <f t="shared" si="14"/>
        <v>D</v>
      </c>
      <c r="Q118" s="5">
        <f t="shared" si="15"/>
        <v>-73.929999999999993</v>
      </c>
    </row>
    <row r="119" spans="1:17" ht="17.25" customHeight="1" x14ac:dyDescent="0.25">
      <c r="A119" s="5">
        <f t="shared" si="9"/>
        <v>-87.27</v>
      </c>
      <c r="B119" s="5" t="str">
        <f t="shared" si="16"/>
        <v>D</v>
      </c>
      <c r="C119" s="5">
        <f t="shared" si="10"/>
        <v>0</v>
      </c>
      <c r="D119" s="5">
        <f t="shared" si="11"/>
        <v>87.27</v>
      </c>
      <c r="E119" s="4"/>
      <c r="F119" s="50" t="s">
        <v>73</v>
      </c>
      <c r="G119" s="2" t="s">
        <v>70</v>
      </c>
      <c r="H119" s="69">
        <v>0</v>
      </c>
      <c r="I119" s="2" t="s">
        <v>52</v>
      </c>
      <c r="J119" s="66">
        <v>87.27</v>
      </c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87.27</v>
      </c>
      <c r="P119" s="5" t="str">
        <f t="shared" si="14"/>
        <v>V</v>
      </c>
      <c r="Q119" s="5">
        <f t="shared" si="15"/>
        <v>87.27</v>
      </c>
    </row>
    <row r="120" spans="1:17" ht="17.25" customHeight="1" x14ac:dyDescent="0.25">
      <c r="A120" s="5">
        <f t="shared" si="9"/>
        <v>-1.0699999999999932</v>
      </c>
      <c r="B120" s="5" t="str">
        <f t="shared" si="16"/>
        <v>E</v>
      </c>
      <c r="C120" s="5">
        <f t="shared" si="10"/>
        <v>93.37</v>
      </c>
      <c r="D120" s="5">
        <f t="shared" si="11"/>
        <v>94.44</v>
      </c>
      <c r="E120" s="4"/>
      <c r="F120" s="50" t="s">
        <v>80</v>
      </c>
      <c r="G120" s="2" t="s">
        <v>79</v>
      </c>
      <c r="H120" s="67">
        <v>93.37</v>
      </c>
      <c r="I120" s="2" t="s">
        <v>52</v>
      </c>
      <c r="J120" s="67">
        <v>94.44</v>
      </c>
      <c r="K120" s="2" t="s">
        <v>63</v>
      </c>
      <c r="L120" s="50" t="s">
        <v>64</v>
      </c>
      <c r="M120" s="4"/>
      <c r="N120" s="5">
        <f t="shared" si="12"/>
        <v>93.37</v>
      </c>
      <c r="O120" s="5">
        <f t="shared" si="13"/>
        <v>94.44</v>
      </c>
      <c r="P120" s="5" t="str">
        <f t="shared" si="14"/>
        <v>E</v>
      </c>
      <c r="Q120" s="5">
        <f t="shared" si="15"/>
        <v>1.0699999999999932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-50.11</v>
      </c>
      <c r="B123" s="5" t="str">
        <f t="shared" si="16"/>
        <v>D</v>
      </c>
      <c r="C123" s="5">
        <f t="shared" si="10"/>
        <v>74.180000000000007</v>
      </c>
      <c r="D123" s="5">
        <f t="shared" si="11"/>
        <v>124.29</v>
      </c>
      <c r="E123" s="4"/>
      <c r="F123" s="50" t="s">
        <v>84</v>
      </c>
      <c r="G123" s="2" t="s">
        <v>85</v>
      </c>
      <c r="H123" s="69">
        <v>74.180000000000007</v>
      </c>
      <c r="I123" s="2" t="s">
        <v>52</v>
      </c>
      <c r="J123" s="66">
        <v>124.29</v>
      </c>
      <c r="K123" s="2" t="s">
        <v>79</v>
      </c>
      <c r="L123" s="50" t="s">
        <v>80</v>
      </c>
      <c r="M123" s="4"/>
      <c r="N123" s="5">
        <f t="shared" si="12"/>
        <v>74.180000000000007</v>
      </c>
      <c r="O123" s="5">
        <f t="shared" si="13"/>
        <v>124.29</v>
      </c>
      <c r="P123" s="5" t="str">
        <f t="shared" si="14"/>
        <v>V</v>
      </c>
      <c r="Q123" s="5">
        <f t="shared" si="15"/>
        <v>50.11</v>
      </c>
    </row>
    <row r="124" spans="1:17" ht="17.25" customHeight="1" x14ac:dyDescent="0.25">
      <c r="A124" s="5">
        <f t="shared" si="9"/>
        <v>4.2999999999999972</v>
      </c>
      <c r="B124" s="5" t="str">
        <f t="shared" si="16"/>
        <v>E</v>
      </c>
      <c r="C124" s="5">
        <f t="shared" si="10"/>
        <v>106.73</v>
      </c>
      <c r="D124" s="5">
        <f t="shared" si="11"/>
        <v>102.43</v>
      </c>
      <c r="E124" s="4"/>
      <c r="F124" s="50" t="s">
        <v>87</v>
      </c>
      <c r="G124" s="2" t="s">
        <v>86</v>
      </c>
      <c r="H124" s="67">
        <v>106.73</v>
      </c>
      <c r="I124" s="2" t="s">
        <v>52</v>
      </c>
      <c r="J124" s="67">
        <v>102.43</v>
      </c>
      <c r="K124" s="2" t="s">
        <v>78</v>
      </c>
      <c r="L124" s="50" t="s">
        <v>77</v>
      </c>
      <c r="M124" s="4"/>
      <c r="N124" s="5">
        <f t="shared" si="12"/>
        <v>106.73</v>
      </c>
      <c r="O124" s="5">
        <f t="shared" si="13"/>
        <v>102.43</v>
      </c>
      <c r="P124" s="5" t="str">
        <f t="shared" si="14"/>
        <v>E</v>
      </c>
      <c r="Q124" s="5">
        <f t="shared" si="15"/>
        <v>-4.2999999999999972</v>
      </c>
    </row>
    <row r="125" spans="1:17" ht="17.25" customHeight="1" x14ac:dyDescent="0.25">
      <c r="A125" s="5">
        <f t="shared" si="9"/>
        <v>-107.8</v>
      </c>
      <c r="B125" s="5" t="str">
        <f t="shared" si="16"/>
        <v>D</v>
      </c>
      <c r="C125" s="5">
        <f t="shared" si="10"/>
        <v>0</v>
      </c>
      <c r="D125" s="5">
        <f t="shared" si="11"/>
        <v>107.8</v>
      </c>
      <c r="E125" s="4"/>
      <c r="F125" s="50" t="s">
        <v>90</v>
      </c>
      <c r="G125" s="2" t="s">
        <v>89</v>
      </c>
      <c r="H125" s="69">
        <v>0</v>
      </c>
      <c r="I125" s="2" t="s">
        <v>52</v>
      </c>
      <c r="J125" s="66">
        <v>107.8</v>
      </c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107.8</v>
      </c>
      <c r="P125" s="5" t="str">
        <f t="shared" si="14"/>
        <v>V</v>
      </c>
      <c r="Q125" s="5">
        <f t="shared" si="15"/>
        <v>107.8</v>
      </c>
    </row>
    <row r="126" spans="1:17" ht="17.25" customHeight="1" x14ac:dyDescent="0.25">
      <c r="A126" s="5">
        <f t="shared" si="9"/>
        <v>65.36</v>
      </c>
      <c r="B126" s="5" t="str">
        <f t="shared" si="16"/>
        <v>V</v>
      </c>
      <c r="C126" s="5">
        <f t="shared" si="10"/>
        <v>65.36</v>
      </c>
      <c r="D126" s="5">
        <f t="shared" si="11"/>
        <v>0</v>
      </c>
      <c r="E126" s="4"/>
      <c r="F126" s="50" t="s">
        <v>67</v>
      </c>
      <c r="G126" s="2" t="s">
        <v>66</v>
      </c>
      <c r="H126" s="66">
        <v>65.36</v>
      </c>
      <c r="I126" s="2" t="s">
        <v>52</v>
      </c>
      <c r="J126" s="69">
        <v>0</v>
      </c>
      <c r="K126" s="2" t="s">
        <v>70</v>
      </c>
      <c r="L126" s="50" t="s">
        <v>73</v>
      </c>
      <c r="M126" s="4"/>
      <c r="N126" s="5">
        <f t="shared" si="12"/>
        <v>65.36</v>
      </c>
      <c r="O126" s="5">
        <f t="shared" si="13"/>
        <v>0</v>
      </c>
      <c r="P126" s="5" t="str">
        <f t="shared" si="14"/>
        <v>D</v>
      </c>
      <c r="Q126" s="5">
        <f t="shared" si="15"/>
        <v>-65.36</v>
      </c>
    </row>
    <row r="127" spans="1:17" ht="17.25" customHeight="1" x14ac:dyDescent="0.25">
      <c r="A127" s="5">
        <f t="shared" si="9"/>
        <v>-0.59999999999999432</v>
      </c>
      <c r="B127" s="5" t="str">
        <f t="shared" si="16"/>
        <v>E</v>
      </c>
      <c r="C127" s="5">
        <f t="shared" si="10"/>
        <v>104.93</v>
      </c>
      <c r="D127" s="5">
        <f t="shared" si="11"/>
        <v>105.53</v>
      </c>
      <c r="E127" s="4"/>
      <c r="F127" s="50" t="s">
        <v>94</v>
      </c>
      <c r="G127" s="2" t="s">
        <v>93</v>
      </c>
      <c r="H127" s="67">
        <v>104.93</v>
      </c>
      <c r="I127" s="2" t="s">
        <v>52</v>
      </c>
      <c r="J127" s="67">
        <v>105.53</v>
      </c>
      <c r="K127" s="2" t="s">
        <v>95</v>
      </c>
      <c r="L127" s="50" t="s">
        <v>96</v>
      </c>
      <c r="M127" s="4"/>
      <c r="N127" s="5">
        <f t="shared" si="12"/>
        <v>104.93</v>
      </c>
      <c r="O127" s="5">
        <f t="shared" si="13"/>
        <v>105.53</v>
      </c>
      <c r="P127" s="5" t="str">
        <f t="shared" si="14"/>
        <v>E</v>
      </c>
      <c r="Q127" s="5">
        <f t="shared" si="15"/>
        <v>0.59999999999999432</v>
      </c>
    </row>
    <row r="128" spans="1:17" ht="17.25" customHeight="1" x14ac:dyDescent="0.25">
      <c r="A128" s="5">
        <f t="shared" si="9"/>
        <v>105.03</v>
      </c>
      <c r="B128" s="5" t="str">
        <f t="shared" si="16"/>
        <v>V</v>
      </c>
      <c r="C128" s="5">
        <f t="shared" si="10"/>
        <v>105.03</v>
      </c>
      <c r="D128" s="5">
        <f t="shared" si="11"/>
        <v>0</v>
      </c>
      <c r="E128" s="4"/>
      <c r="F128" s="50" t="s">
        <v>92</v>
      </c>
      <c r="G128" s="2" t="s">
        <v>91</v>
      </c>
      <c r="H128" s="66">
        <v>105.03</v>
      </c>
      <c r="I128" s="2" t="s">
        <v>52</v>
      </c>
      <c r="J128" s="69">
        <v>0</v>
      </c>
      <c r="K128" s="2" t="s">
        <v>60</v>
      </c>
      <c r="L128" s="50" t="s">
        <v>65</v>
      </c>
      <c r="M128" s="4"/>
      <c r="N128" s="5">
        <f t="shared" si="12"/>
        <v>105.03</v>
      </c>
      <c r="O128" s="5">
        <f t="shared" si="13"/>
        <v>0</v>
      </c>
      <c r="P128" s="5" t="str">
        <f t="shared" si="14"/>
        <v>D</v>
      </c>
      <c r="Q128" s="5">
        <f t="shared" si="15"/>
        <v>-105.03</v>
      </c>
    </row>
    <row r="129" spans="1:17" ht="17.25" customHeight="1" x14ac:dyDescent="0.25">
      <c r="A129" s="5">
        <f t="shared" si="9"/>
        <v>14.650000000000006</v>
      </c>
      <c r="B129" s="5" t="str">
        <f>_xlfn.IFS(A129&gt;=5,"V",A129&lt;=-5,"D",A129&lt;=-4.99,"E",A129&lt;=4.99,"E")</f>
        <v>V</v>
      </c>
      <c r="C129" s="5">
        <f t="shared" si="10"/>
        <v>119.23</v>
      </c>
      <c r="D129" s="5">
        <f t="shared" si="11"/>
        <v>104.58</v>
      </c>
      <c r="E129" s="4"/>
      <c r="F129" s="50" t="s">
        <v>72</v>
      </c>
      <c r="G129" s="2" t="s">
        <v>69</v>
      </c>
      <c r="H129" s="66">
        <v>119.23</v>
      </c>
      <c r="I129" s="2" t="s">
        <v>52</v>
      </c>
      <c r="J129" s="69">
        <v>104.58</v>
      </c>
      <c r="K129" s="2" t="s">
        <v>81</v>
      </c>
      <c r="L129" s="50" t="s">
        <v>82</v>
      </c>
      <c r="M129" s="4"/>
      <c r="N129" s="5">
        <f t="shared" si="12"/>
        <v>119.23</v>
      </c>
      <c r="O129" s="5">
        <f t="shared" si="13"/>
        <v>104.58</v>
      </c>
      <c r="P129" s="5" t="str">
        <f t="shared" si="14"/>
        <v>D</v>
      </c>
      <c r="Q129" s="5">
        <f t="shared" si="15"/>
        <v>-14.650000000000006</v>
      </c>
    </row>
    <row r="130" spans="1:17" ht="17.25" customHeight="1" x14ac:dyDescent="0.25">
      <c r="A130" s="5">
        <f t="shared" si="9"/>
        <v>-59.39</v>
      </c>
      <c r="B130" s="5" t="str">
        <f t="shared" si="16"/>
        <v>D</v>
      </c>
      <c r="C130" s="5">
        <f t="shared" si="10"/>
        <v>0</v>
      </c>
      <c r="D130" s="5">
        <f t="shared" si="11"/>
        <v>59.39</v>
      </c>
      <c r="E130" s="4"/>
      <c r="F130" s="50" t="s">
        <v>62</v>
      </c>
      <c r="G130" s="2" t="s">
        <v>61</v>
      </c>
      <c r="H130" s="69">
        <v>0</v>
      </c>
      <c r="I130" s="2" t="s">
        <v>52</v>
      </c>
      <c r="J130" s="66">
        <v>59.39</v>
      </c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59.39</v>
      </c>
      <c r="P130" s="5" t="str">
        <f t="shared" si="14"/>
        <v>V</v>
      </c>
      <c r="Q130" s="5">
        <f t="shared" si="15"/>
        <v>59.39</v>
      </c>
    </row>
    <row r="131" spans="1:17" ht="17.25" customHeight="1" x14ac:dyDescent="0.25">
      <c r="A131" s="5">
        <f t="shared" si="9"/>
        <v>-19.36</v>
      </c>
      <c r="B131" s="5" t="str">
        <f t="shared" si="16"/>
        <v>D</v>
      </c>
      <c r="C131" s="5">
        <f t="shared" si="10"/>
        <v>86.78</v>
      </c>
      <c r="D131" s="5">
        <f t="shared" si="11"/>
        <v>106.14</v>
      </c>
      <c r="E131" s="4"/>
      <c r="F131" s="50" t="s">
        <v>75</v>
      </c>
      <c r="G131" s="2" t="s">
        <v>88</v>
      </c>
      <c r="H131" s="69">
        <v>86.78</v>
      </c>
      <c r="I131" s="2" t="s">
        <v>52</v>
      </c>
      <c r="J131" s="66">
        <v>106.14</v>
      </c>
      <c r="K131" s="2" t="s">
        <v>63</v>
      </c>
      <c r="L131" s="50" t="s">
        <v>64</v>
      </c>
      <c r="M131" s="4"/>
      <c r="N131" s="5">
        <f t="shared" si="12"/>
        <v>86.78</v>
      </c>
      <c r="O131" s="5">
        <f t="shared" si="13"/>
        <v>106.14</v>
      </c>
      <c r="P131" s="5" t="str">
        <f t="shared" si="14"/>
        <v>V</v>
      </c>
      <c r="Q131" s="5">
        <f t="shared" si="15"/>
        <v>19.36</v>
      </c>
    </row>
    <row r="132" spans="1:17" ht="17.25" customHeight="1" x14ac:dyDescent="0.25">
      <c r="A132" s="5">
        <f t="shared" ref="A132:A195" si="17">C132-D132</f>
        <v>9.5500000000000114</v>
      </c>
      <c r="B132" s="5" t="str">
        <f t="shared" si="16"/>
        <v>V</v>
      </c>
      <c r="C132" s="5">
        <f t="shared" ref="C132:C195" si="18">H132</f>
        <v>90.43</v>
      </c>
      <c r="D132" s="5">
        <f t="shared" ref="D132:D195" si="19">J132</f>
        <v>80.88</v>
      </c>
      <c r="E132" s="4"/>
      <c r="F132" s="50" t="s">
        <v>98</v>
      </c>
      <c r="G132" s="2" t="s">
        <v>97</v>
      </c>
      <c r="H132" s="66">
        <v>90.43</v>
      </c>
      <c r="I132" s="2" t="s">
        <v>52</v>
      </c>
      <c r="J132" s="69">
        <v>80.88</v>
      </c>
      <c r="K132" s="2" t="s">
        <v>71</v>
      </c>
      <c r="L132" s="50" t="s">
        <v>74</v>
      </c>
      <c r="M132" s="4"/>
      <c r="N132" s="5">
        <f t="shared" ref="N132:N195" si="20">H132</f>
        <v>90.43</v>
      </c>
      <c r="O132" s="5">
        <f t="shared" ref="O132:O195" si="21">J132</f>
        <v>80.88</v>
      </c>
      <c r="P132" s="5" t="str">
        <f>_xlfn.IFS(Q132&gt;=5,"V",Q132&lt;=-5,"D",Q132&lt;=-4.99,"E",Q132&lt;=4.99,"E")</f>
        <v>D</v>
      </c>
      <c r="Q132" s="5">
        <f t="shared" ref="Q132:Q195" si="22">J132-H132</f>
        <v>-9.5500000000000114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50" t="s">
        <v>82</v>
      </c>
      <c r="G135" s="2" t="s">
        <v>81</v>
      </c>
      <c r="H135" s="2"/>
      <c r="I135" s="1" t="s">
        <v>52</v>
      </c>
      <c r="J135" s="2"/>
      <c r="K135" s="2" t="s">
        <v>61</v>
      </c>
      <c r="L135" s="50" t="s">
        <v>62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50" t="s">
        <v>100</v>
      </c>
      <c r="G136" s="2" t="s">
        <v>99</v>
      </c>
      <c r="H136" s="2"/>
      <c r="I136" s="1" t="s">
        <v>52</v>
      </c>
      <c r="J136" s="2"/>
      <c r="K136" s="2" t="s">
        <v>66</v>
      </c>
      <c r="L136" s="50" t="s">
        <v>67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50" t="s">
        <v>65</v>
      </c>
      <c r="G137" s="2" t="s">
        <v>60</v>
      </c>
      <c r="H137" s="2"/>
      <c r="I137" s="1" t="s">
        <v>52</v>
      </c>
      <c r="J137" s="2"/>
      <c r="K137" s="2" t="s">
        <v>85</v>
      </c>
      <c r="L137" s="50" t="s">
        <v>84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50" t="s">
        <v>77</v>
      </c>
      <c r="G138" s="2" t="s">
        <v>78</v>
      </c>
      <c r="H138" s="2"/>
      <c r="I138" s="1" t="s">
        <v>52</v>
      </c>
      <c r="J138" s="2"/>
      <c r="K138" s="2" t="s">
        <v>88</v>
      </c>
      <c r="L138" s="50" t="s">
        <v>75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50" t="s">
        <v>74</v>
      </c>
      <c r="G139" s="2" t="s">
        <v>71</v>
      </c>
      <c r="H139" s="2"/>
      <c r="I139" s="1" t="s">
        <v>52</v>
      </c>
      <c r="J139" s="2"/>
      <c r="K139" s="2" t="s">
        <v>91</v>
      </c>
      <c r="L139" s="50" t="s">
        <v>92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50" t="s">
        <v>64</v>
      </c>
      <c r="G140" s="2" t="s">
        <v>63</v>
      </c>
      <c r="H140" s="2"/>
      <c r="I140" s="1" t="s">
        <v>52</v>
      </c>
      <c r="J140" s="2"/>
      <c r="K140" s="2" t="s">
        <v>89</v>
      </c>
      <c r="L140" s="50" t="s">
        <v>90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50" t="s">
        <v>72</v>
      </c>
      <c r="G141" s="2" t="s">
        <v>69</v>
      </c>
      <c r="H141" s="2"/>
      <c r="I141" s="1" t="s">
        <v>52</v>
      </c>
      <c r="J141" s="2"/>
      <c r="K141" s="2" t="s">
        <v>93</v>
      </c>
      <c r="L141" s="50" t="s">
        <v>94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50" t="s">
        <v>76</v>
      </c>
      <c r="G142" s="2" t="s">
        <v>83</v>
      </c>
      <c r="H142" s="2"/>
      <c r="I142" s="1" t="s">
        <v>52</v>
      </c>
      <c r="J142" s="2"/>
      <c r="K142" s="2" t="s">
        <v>95</v>
      </c>
      <c r="L142" s="50" t="s">
        <v>96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50" t="s">
        <v>73</v>
      </c>
      <c r="G143" s="2" t="s">
        <v>70</v>
      </c>
      <c r="H143" s="2"/>
      <c r="I143" s="1" t="s">
        <v>52</v>
      </c>
      <c r="J143" s="2"/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50" t="s">
        <v>98</v>
      </c>
      <c r="G144" s="2" t="s">
        <v>97</v>
      </c>
      <c r="H144" s="2"/>
      <c r="I144" s="1" t="s">
        <v>52</v>
      </c>
      <c r="J144" s="2"/>
      <c r="K144" s="2" t="s">
        <v>86</v>
      </c>
      <c r="L144" s="50" t="s">
        <v>87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Ak. Lanches</v>
      </c>
      <c r="Y239" s="15">
        <f t="shared" ref="Y239:AG254" si="33">Y3</f>
        <v>26</v>
      </c>
      <c r="Z239" s="15">
        <f t="shared" si="33"/>
        <v>11</v>
      </c>
      <c r="AA239" s="15">
        <f t="shared" si="33"/>
        <v>8</v>
      </c>
      <c r="AB239" s="15">
        <f t="shared" si="33"/>
        <v>2</v>
      </c>
      <c r="AC239" s="15">
        <f t="shared" si="33"/>
        <v>1</v>
      </c>
      <c r="AD239" s="15">
        <f t="shared" si="33"/>
        <v>1070.57</v>
      </c>
      <c r="AE239" s="15">
        <f t="shared" si="33"/>
        <v>724.35</v>
      </c>
      <c r="AF239" s="57">
        <f t="shared" si="33"/>
        <v>346.21999999999991</v>
      </c>
      <c r="AG239" s="24">
        <f t="shared" si="33"/>
        <v>97.324545454545444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OH PROMOVIDO FC</v>
      </c>
      <c r="Y240" s="35">
        <f t="shared" si="33"/>
        <v>26</v>
      </c>
      <c r="Z240" s="35">
        <f t="shared" si="33"/>
        <v>11</v>
      </c>
      <c r="AA240" s="35">
        <f t="shared" si="33"/>
        <v>8</v>
      </c>
      <c r="AB240" s="35">
        <f t="shared" si="33"/>
        <v>2</v>
      </c>
      <c r="AC240" s="35">
        <f t="shared" si="33"/>
        <v>1</v>
      </c>
      <c r="AD240" s="35">
        <f t="shared" si="33"/>
        <v>1070.72</v>
      </c>
      <c r="AE240" s="35">
        <f t="shared" si="33"/>
        <v>822.02</v>
      </c>
      <c r="AF240" s="58">
        <f t="shared" si="33"/>
        <v>248.70000000000005</v>
      </c>
      <c r="AG240" s="25">
        <f t="shared" si="33"/>
        <v>97.338181818181823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POLLY. FC. 12</v>
      </c>
      <c r="Y241" s="35">
        <f t="shared" si="33"/>
        <v>25</v>
      </c>
      <c r="Z241" s="35">
        <f t="shared" si="33"/>
        <v>11</v>
      </c>
      <c r="AA241" s="35">
        <f t="shared" si="33"/>
        <v>8</v>
      </c>
      <c r="AB241" s="35">
        <f t="shared" si="33"/>
        <v>1</v>
      </c>
      <c r="AC241" s="35">
        <f t="shared" si="33"/>
        <v>2</v>
      </c>
      <c r="AD241" s="35">
        <f t="shared" si="33"/>
        <v>1053.8</v>
      </c>
      <c r="AE241" s="35">
        <f t="shared" si="33"/>
        <v>665.83</v>
      </c>
      <c r="AF241" s="58">
        <f t="shared" si="33"/>
        <v>387.96999999999991</v>
      </c>
      <c r="AG241" s="25">
        <f t="shared" si="33"/>
        <v>95.8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SA Werewolves</v>
      </c>
      <c r="Y242" s="35">
        <f t="shared" si="33"/>
        <v>25</v>
      </c>
      <c r="Z242" s="35">
        <f t="shared" si="33"/>
        <v>11</v>
      </c>
      <c r="AA242" s="35">
        <f t="shared" si="33"/>
        <v>8</v>
      </c>
      <c r="AB242" s="35">
        <f t="shared" si="33"/>
        <v>1</v>
      </c>
      <c r="AC242" s="35">
        <f t="shared" si="33"/>
        <v>2</v>
      </c>
      <c r="AD242" s="35">
        <f t="shared" si="33"/>
        <v>1003.1400000000001</v>
      </c>
      <c r="AE242" s="35">
        <f t="shared" si="33"/>
        <v>753.39</v>
      </c>
      <c r="AF242" s="58">
        <f t="shared" si="33"/>
        <v>249.75000000000011</v>
      </c>
      <c r="AG242" s="25">
        <f t="shared" si="33"/>
        <v>91.194545454545462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disfuca</v>
      </c>
      <c r="Y243" s="36">
        <f t="shared" si="33"/>
        <v>22</v>
      </c>
      <c r="Z243" s="36">
        <f t="shared" si="33"/>
        <v>11</v>
      </c>
      <c r="AA243" s="36">
        <f t="shared" si="33"/>
        <v>7</v>
      </c>
      <c r="AB243" s="36">
        <f t="shared" si="33"/>
        <v>1</v>
      </c>
      <c r="AC243" s="36">
        <f t="shared" si="33"/>
        <v>3</v>
      </c>
      <c r="AD243" s="36">
        <f t="shared" si="33"/>
        <v>950.81</v>
      </c>
      <c r="AE243" s="36">
        <f t="shared" si="33"/>
        <v>850.31</v>
      </c>
      <c r="AF243" s="60">
        <f t="shared" si="33"/>
        <v>100.5</v>
      </c>
      <c r="AG243" s="25">
        <f t="shared" si="33"/>
        <v>86.437272727272727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Rk_fitness FC</v>
      </c>
      <c r="Y244" s="36">
        <f t="shared" si="33"/>
        <v>21</v>
      </c>
      <c r="Z244" s="36">
        <f t="shared" si="33"/>
        <v>11</v>
      </c>
      <c r="AA244" s="36">
        <f t="shared" si="33"/>
        <v>6</v>
      </c>
      <c r="AB244" s="36">
        <f t="shared" si="33"/>
        <v>3</v>
      </c>
      <c r="AC244" s="36">
        <f t="shared" si="33"/>
        <v>2</v>
      </c>
      <c r="AD244" s="36">
        <f t="shared" si="33"/>
        <v>1006.75</v>
      </c>
      <c r="AE244" s="36">
        <f t="shared" si="33"/>
        <v>745.33999999999992</v>
      </c>
      <c r="AF244" s="60">
        <f t="shared" si="33"/>
        <v>261.41000000000008</v>
      </c>
      <c r="AG244" s="25">
        <f t="shared" si="33"/>
        <v>91.522727272727266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juticeiro futebol</v>
      </c>
      <c r="Y245" s="36">
        <f t="shared" si="33"/>
        <v>19</v>
      </c>
      <c r="Z245" s="36">
        <f t="shared" si="33"/>
        <v>11</v>
      </c>
      <c r="AA245" s="36">
        <f t="shared" si="33"/>
        <v>5</v>
      </c>
      <c r="AB245" s="36">
        <f t="shared" si="33"/>
        <v>4</v>
      </c>
      <c r="AC245" s="36">
        <f t="shared" si="33"/>
        <v>2</v>
      </c>
      <c r="AD245" s="36">
        <f t="shared" si="33"/>
        <v>981.82999999999993</v>
      </c>
      <c r="AE245" s="36">
        <f t="shared" si="33"/>
        <v>938.61999999999989</v>
      </c>
      <c r="AF245" s="60">
        <f t="shared" si="33"/>
        <v>43.210000000000036</v>
      </c>
      <c r="AG245" s="25">
        <f t="shared" si="33"/>
        <v>89.257272727272721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Sport Barra 4</v>
      </c>
      <c r="Y246" s="36">
        <f t="shared" si="33"/>
        <v>17</v>
      </c>
      <c r="Z246" s="36">
        <f t="shared" si="33"/>
        <v>11</v>
      </c>
      <c r="AA246" s="36">
        <f t="shared" si="33"/>
        <v>5</v>
      </c>
      <c r="AB246" s="36">
        <f t="shared" si="33"/>
        <v>2</v>
      </c>
      <c r="AC246" s="36">
        <f t="shared" si="33"/>
        <v>4</v>
      </c>
      <c r="AD246" s="36">
        <f t="shared" si="33"/>
        <v>909.66</v>
      </c>
      <c r="AE246" s="36">
        <f t="shared" si="33"/>
        <v>772.23</v>
      </c>
      <c r="AF246" s="60">
        <f t="shared" si="33"/>
        <v>137.42999999999995</v>
      </c>
      <c r="AG246" s="25">
        <f t="shared" si="33"/>
        <v>82.696363636363628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SeguimeuPAAL</v>
      </c>
      <c r="Y247" s="36">
        <f t="shared" si="33"/>
        <v>16</v>
      </c>
      <c r="Z247" s="36">
        <f t="shared" si="33"/>
        <v>11</v>
      </c>
      <c r="AA247" s="36">
        <f t="shared" si="33"/>
        <v>5</v>
      </c>
      <c r="AB247" s="36">
        <f t="shared" si="33"/>
        <v>1</v>
      </c>
      <c r="AC247" s="36">
        <f t="shared" si="33"/>
        <v>5</v>
      </c>
      <c r="AD247" s="36">
        <f t="shared" si="33"/>
        <v>957.38000000000011</v>
      </c>
      <c r="AE247" s="36">
        <f t="shared" si="33"/>
        <v>928.12999999999988</v>
      </c>
      <c r="AF247" s="60">
        <f t="shared" si="33"/>
        <v>29.250000000000227</v>
      </c>
      <c r="AG247" s="25">
        <f t="shared" si="33"/>
        <v>87.034545454545466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LS Alves F.C</v>
      </c>
      <c r="Y248" s="36">
        <f t="shared" si="33"/>
        <v>15</v>
      </c>
      <c r="Z248" s="36">
        <f t="shared" si="33"/>
        <v>11</v>
      </c>
      <c r="AA248" s="36">
        <f t="shared" si="33"/>
        <v>5</v>
      </c>
      <c r="AB248" s="36">
        <f t="shared" si="33"/>
        <v>0</v>
      </c>
      <c r="AC248" s="36">
        <f t="shared" si="33"/>
        <v>6</v>
      </c>
      <c r="AD248" s="36">
        <f t="shared" si="33"/>
        <v>713.76</v>
      </c>
      <c r="AE248" s="36">
        <f t="shared" si="33"/>
        <v>814.19</v>
      </c>
      <c r="AF248" s="60">
        <f t="shared" si="33"/>
        <v>-100.43000000000006</v>
      </c>
      <c r="AG248" s="25">
        <f t="shared" si="33"/>
        <v>64.88727272727273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Fiel FC Riacho</v>
      </c>
      <c r="Y249" s="36">
        <f t="shared" si="33"/>
        <v>15</v>
      </c>
      <c r="Z249" s="36">
        <f t="shared" si="33"/>
        <v>11</v>
      </c>
      <c r="AA249" s="36">
        <f t="shared" si="33"/>
        <v>5</v>
      </c>
      <c r="AB249" s="36">
        <f t="shared" si="33"/>
        <v>0</v>
      </c>
      <c r="AC249" s="36">
        <f t="shared" si="33"/>
        <v>6</v>
      </c>
      <c r="AD249" s="36">
        <f t="shared" si="33"/>
        <v>509.62</v>
      </c>
      <c r="AE249" s="36">
        <f t="shared" si="33"/>
        <v>704.3</v>
      </c>
      <c r="AF249" s="60">
        <f t="shared" si="33"/>
        <v>-194.67999999999995</v>
      </c>
      <c r="AG249" s="25">
        <f t="shared" si="33"/>
        <v>46.329090909090908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Kaiocezar1992</v>
      </c>
      <c r="Y250" s="36">
        <f t="shared" si="33"/>
        <v>15</v>
      </c>
      <c r="Z250" s="36">
        <f t="shared" si="33"/>
        <v>11</v>
      </c>
      <c r="AA250" s="36">
        <f t="shared" si="33"/>
        <v>4</v>
      </c>
      <c r="AB250" s="36">
        <f t="shared" si="33"/>
        <v>3</v>
      </c>
      <c r="AC250" s="36">
        <f t="shared" si="33"/>
        <v>4</v>
      </c>
      <c r="AD250" s="36">
        <f t="shared" si="33"/>
        <v>929.05</v>
      </c>
      <c r="AE250" s="36">
        <f t="shared" si="33"/>
        <v>653.03</v>
      </c>
      <c r="AF250" s="60">
        <f t="shared" si="33"/>
        <v>276.02</v>
      </c>
      <c r="AG250" s="25">
        <f t="shared" si="33"/>
        <v>84.459090909090904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Loucosbet</v>
      </c>
      <c r="Y251" s="36">
        <f t="shared" si="33"/>
        <v>14</v>
      </c>
      <c r="Z251" s="36">
        <f t="shared" si="33"/>
        <v>11</v>
      </c>
      <c r="AA251" s="36">
        <f t="shared" si="33"/>
        <v>4</v>
      </c>
      <c r="AB251" s="36">
        <f t="shared" si="33"/>
        <v>2</v>
      </c>
      <c r="AC251" s="36">
        <f t="shared" si="33"/>
        <v>5</v>
      </c>
      <c r="AD251" s="36">
        <f t="shared" si="33"/>
        <v>862.55</v>
      </c>
      <c r="AE251" s="36">
        <f t="shared" si="33"/>
        <v>751.30000000000007</v>
      </c>
      <c r="AF251" s="60">
        <f t="shared" si="33"/>
        <v>111.24999999999989</v>
      </c>
      <c r="AG251" s="25">
        <f t="shared" si="33"/>
        <v>78.413636363636357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riacho futebol clube riachesse</v>
      </c>
      <c r="Y252" s="36">
        <f t="shared" si="33"/>
        <v>13</v>
      </c>
      <c r="Z252" s="36">
        <f t="shared" si="33"/>
        <v>11</v>
      </c>
      <c r="AA252" s="36">
        <f t="shared" si="33"/>
        <v>4</v>
      </c>
      <c r="AB252" s="36">
        <f t="shared" si="33"/>
        <v>1</v>
      </c>
      <c r="AC252" s="36">
        <f t="shared" si="33"/>
        <v>6</v>
      </c>
      <c r="AD252" s="36">
        <f t="shared" si="33"/>
        <v>842.02</v>
      </c>
      <c r="AE252" s="36">
        <f t="shared" si="33"/>
        <v>883.83999999999992</v>
      </c>
      <c r="AF252" s="60">
        <f t="shared" si="33"/>
        <v>-41.819999999999936</v>
      </c>
      <c r="AG252" s="25">
        <f t="shared" si="33"/>
        <v>76.547272727272727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Golfinho FC 1999</v>
      </c>
      <c r="Y253" s="36">
        <f t="shared" si="33"/>
        <v>11</v>
      </c>
      <c r="Z253" s="36">
        <f t="shared" si="33"/>
        <v>11</v>
      </c>
      <c r="AA253" s="36">
        <f t="shared" si="33"/>
        <v>3</v>
      </c>
      <c r="AB253" s="36">
        <f t="shared" si="33"/>
        <v>2</v>
      </c>
      <c r="AC253" s="36">
        <f t="shared" si="33"/>
        <v>6</v>
      </c>
      <c r="AD253" s="36">
        <f t="shared" si="33"/>
        <v>768.99</v>
      </c>
      <c r="AE253" s="36">
        <f t="shared" si="33"/>
        <v>783.71</v>
      </c>
      <c r="AF253" s="60">
        <f t="shared" si="33"/>
        <v>-14.720000000000027</v>
      </c>
      <c r="AG253" s="25">
        <f t="shared" si="33"/>
        <v>69.908181818181816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TM89</v>
      </c>
      <c r="Y254" s="36">
        <f t="shared" si="33"/>
        <v>11</v>
      </c>
      <c r="Z254" s="36">
        <f t="shared" si="33"/>
        <v>11</v>
      </c>
      <c r="AA254" s="36">
        <f t="shared" si="33"/>
        <v>3</v>
      </c>
      <c r="AB254" s="36">
        <f t="shared" si="33"/>
        <v>2</v>
      </c>
      <c r="AC254" s="36">
        <f t="shared" si="33"/>
        <v>6</v>
      </c>
      <c r="AD254" s="36">
        <f t="shared" si="33"/>
        <v>615.83000000000004</v>
      </c>
      <c r="AE254" s="36">
        <f t="shared" si="33"/>
        <v>826.46</v>
      </c>
      <c r="AF254" s="60">
        <f t="shared" si="33"/>
        <v>-210.63</v>
      </c>
      <c r="AG254" s="25">
        <f t="shared" si="33"/>
        <v>55.984545454545461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Amigos do Marx</v>
      </c>
      <c r="Y255" s="38">
        <f t="shared" si="34"/>
        <v>10</v>
      </c>
      <c r="Z255" s="38">
        <f t="shared" si="34"/>
        <v>11</v>
      </c>
      <c r="AA255" s="38">
        <f t="shared" si="34"/>
        <v>2</v>
      </c>
      <c r="AB255" s="38">
        <f t="shared" si="34"/>
        <v>4</v>
      </c>
      <c r="AC255" s="38">
        <f t="shared" si="34"/>
        <v>5</v>
      </c>
      <c r="AD255" s="38">
        <f t="shared" si="34"/>
        <v>1004.99</v>
      </c>
      <c r="AE255" s="38">
        <f t="shared" si="34"/>
        <v>989.26</v>
      </c>
      <c r="AF255" s="61">
        <f t="shared" si="34"/>
        <v>15.730000000000018</v>
      </c>
      <c r="AG255" s="25">
        <f t="shared" si="34"/>
        <v>91.36272727272727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Calabresa c/ catupiry</v>
      </c>
      <c r="Y256" s="38">
        <f t="shared" si="35"/>
        <v>7</v>
      </c>
      <c r="Z256" s="38">
        <f t="shared" si="35"/>
        <v>11</v>
      </c>
      <c r="AA256" s="38">
        <f t="shared" si="35"/>
        <v>2</v>
      </c>
      <c r="AB256" s="38">
        <f t="shared" si="35"/>
        <v>1</v>
      </c>
      <c r="AC256" s="38">
        <f t="shared" si="35"/>
        <v>8</v>
      </c>
      <c r="AD256" s="38">
        <f t="shared" si="35"/>
        <v>524.22</v>
      </c>
      <c r="AE256" s="38">
        <f t="shared" si="35"/>
        <v>939.34999999999991</v>
      </c>
      <c r="AF256" s="61">
        <f t="shared" si="35"/>
        <v>-415.12999999999988</v>
      </c>
      <c r="AG256" s="25">
        <f t="shared" si="35"/>
        <v>47.656363636363636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DrogonTargaryen</v>
      </c>
      <c r="Y257" s="38">
        <f t="shared" si="35"/>
        <v>5</v>
      </c>
      <c r="Z257" s="38">
        <f t="shared" si="35"/>
        <v>11</v>
      </c>
      <c r="AA257" s="38">
        <f t="shared" si="35"/>
        <v>1</v>
      </c>
      <c r="AB257" s="38">
        <f t="shared" si="35"/>
        <v>2</v>
      </c>
      <c r="AC257" s="38">
        <f t="shared" si="35"/>
        <v>8</v>
      </c>
      <c r="AD257" s="38">
        <f t="shared" si="35"/>
        <v>563.77</v>
      </c>
      <c r="AE257" s="38">
        <f t="shared" si="35"/>
        <v>890.44999999999993</v>
      </c>
      <c r="AF257" s="61">
        <f t="shared" si="35"/>
        <v>-326.67999999999995</v>
      </c>
      <c r="AG257" s="25">
        <f t="shared" si="35"/>
        <v>51.25181818181818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0</v>
      </c>
      <c r="Z258" s="17">
        <f t="shared" si="35"/>
        <v>11</v>
      </c>
      <c r="AA258" s="17">
        <f t="shared" si="35"/>
        <v>0</v>
      </c>
      <c r="AB258" s="17">
        <f t="shared" si="35"/>
        <v>0</v>
      </c>
      <c r="AC258" s="17">
        <f t="shared" si="35"/>
        <v>11</v>
      </c>
      <c r="AD258" s="17">
        <f t="shared" si="35"/>
        <v>116.25999999999999</v>
      </c>
      <c r="AE258" s="17">
        <f t="shared" si="35"/>
        <v>1019.6099999999999</v>
      </c>
      <c r="AF258" s="62">
        <f t="shared" si="35"/>
        <v>-903.34999999999991</v>
      </c>
      <c r="AG258" s="26">
        <f t="shared" si="35"/>
        <v>10.569090909090908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10" sqref="C10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2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1</v>
      </c>
    </row>
    <row r="7" spans="1:5" ht="18.75" x14ac:dyDescent="0.25">
      <c r="A7" s="50" t="s">
        <v>73</v>
      </c>
      <c r="B7" s="2" t="s">
        <v>70</v>
      </c>
      <c r="C7" s="2">
        <v>4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3</v>
      </c>
    </row>
    <row r="21" spans="1:3" ht="18.75" x14ac:dyDescent="0.25">
      <c r="A21" s="50" t="s">
        <v>65</v>
      </c>
      <c r="B21" s="2" t="s">
        <v>60</v>
      </c>
      <c r="C21" s="2">
        <v>9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2026-10-13T16:15:46Z</dcterms:modified>
</cp:coreProperties>
</file>